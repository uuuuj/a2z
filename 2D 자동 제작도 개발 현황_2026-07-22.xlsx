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ddl\Desktop\Project\a2z\"/>
    </mc:Choice>
  </mc:AlternateContent>
  <xr:revisionPtr revIDLastSave="0" documentId="13_ncr:1_{2289E79A-CA10-4BBB-869C-A88635DF0B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현황 요약" sheetId="1" r:id="rId1"/>
    <sheet name="개발 항목" sheetId="2" r:id="rId2"/>
    <sheet name="요구사항·UD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E5" i="1"/>
  <c r="C5" i="1"/>
  <c r="A5" i="1"/>
</calcChain>
</file>

<file path=xl/sharedStrings.xml><?xml version="1.0" encoding="utf-8"?>
<sst xmlns="http://schemas.openxmlformats.org/spreadsheetml/2006/main" count="1223" uniqueCount="459">
  <si>
    <t>2D 자동 제작도 개발 현황</t>
  </si>
  <si>
    <t>전체 관리 항목</t>
  </si>
  <si>
    <t>완료</t>
  </si>
  <si>
    <t>실기 검증 대기</t>
  </si>
  <si>
    <t>생산 필수 미확인</t>
  </si>
  <si>
    <t>최우선 차단·실기 대기 항목</t>
  </si>
  <si>
    <t>현재 판정에서 특히 주의할 점</t>
  </si>
  <si>
    <t>BOM UDA</t>
  </si>
  <si>
    <t>실제 수집 UDA는 SPREF·MATREF·GWEI·POSSTART·POSEND. Q'TY·MA·FA는 하드코딩</t>
  </si>
  <si>
    <t>TAG / DP</t>
  </si>
  <si>
    <t>TAG는 STRU UDA 연결이 있으나 일부 시트 공백 가능. DP는 Test 고정값</t>
  </si>
  <si>
    <t>Paint / Note / Rev</t>
  </si>
  <si>
    <t>템플릿 칸만 있고 실제 생산 데이터·입력 기능은 미구현</t>
  </si>
  <si>
    <t>제작도·조립도·설치도·가공도 자동화 개발 항목</t>
  </si>
  <si>
    <t>출장 개발 O와 개발 완료일을 분리했습니다. 코드가 있어도 실기/생산 검증이 안 됐으면 완료로 표시하지 않습니다.</t>
  </si>
  <si>
    <t>필수: ○=생산 필수, △=조건부/문서정보, X=디자인·편의 · API/코드 구현: O/△/X · 생산 출력 확인: O/대기/X/해당없음</t>
  </si>
  <si>
    <t>도면 요구사항과 현재 UDA·API 매핑</t>
  </si>
  <si>
    <t>현재 코드가 실제로 읽는 값과 앞으로 정의해야 할 생산 데이터를 구분했습니다.</t>
  </si>
  <si>
    <t>필수 뷰 매핑</t>
  </si>
  <si>
    <t>도면 요소</t>
  </si>
  <si>
    <t>사용자 요구</t>
  </si>
  <si>
    <t>현재 코드</t>
  </si>
  <si>
    <t>상태</t>
  </si>
  <si>
    <t>생산 확인</t>
  </si>
  <si>
    <t>추가 분석</t>
  </si>
  <si>
    <t>비고</t>
  </si>
  <si>
    <t>ISO</t>
  </si>
  <si>
    <t>ISO3 뷰</t>
  </si>
  <si>
    <t>평면도</t>
  </si>
  <si>
    <t>-Z 방향</t>
  </si>
  <si>
    <t>Z_MINUS</t>
  </si>
  <si>
    <t>O</t>
  </si>
  <si>
    <t>X</t>
  </si>
  <si>
    <t>View_2</t>
  </si>
  <si>
    <t>정면도</t>
  </si>
  <si>
    <t>-X 방향</t>
  </si>
  <si>
    <t>X_MINUS</t>
  </si>
  <si>
    <t>View_3</t>
  </si>
  <si>
    <t>측면도</t>
  </si>
  <si>
    <t>-Y 방향</t>
  </si>
  <si>
    <t>Y_MINUS</t>
  </si>
  <si>
    <t>View_4</t>
  </si>
  <si>
    <t>BOM 컬럼별 데이터 출처</t>
  </si>
  <si>
    <t>BOM 컬럼</t>
  </si>
  <si>
    <t>생산 필수</t>
  </si>
  <si>
    <t>현재 상태</t>
  </si>
  <si>
    <t>현재 출처·계산</t>
  </si>
  <si>
    <t>권장 UDA/규칙</t>
  </si>
  <si>
    <t>추가 개발</t>
  </si>
  <si>
    <t>판정</t>
  </si>
  <si>
    <t>번호</t>
  </si>
  <si>
    <t>○</t>
  </si>
  <si>
    <t>앱이 Part/BOM 순번으로 생성</t>
  </si>
  <si>
    <t>UDA 불필요</t>
  </si>
  <si>
    <t>없음</t>
  </si>
  <si>
    <t>ISO 풍선과 같은 번호</t>
  </si>
  <si>
    <t>ITEM</t>
  </si>
  <si>
    <t>SPREF 앞 구간</t>
  </si>
  <si>
    <t>SPREF</t>
  </si>
  <si>
    <t>첫 / 제거 후 / 또는 : 앞</t>
  </si>
  <si>
    <t>MATERIAL</t>
  </si>
  <si>
    <t>MATREF</t>
  </si>
  <si>
    <t>선행 / 제거</t>
  </si>
  <si>
    <t>SIZE</t>
  </si>
  <si>
    <t>부분 구현</t>
  </si>
  <si>
    <t>SPREF 뒷부분 + POSSTART/POSEND 거리</t>
  </si>
  <si>
    <t>SPREF + POSSTART/POSEND</t>
  </si>
  <si>
    <t>형식 검증</t>
  </si>
  <si>
    <t>좌표 숫자 순서 가정</t>
  </si>
  <si>
    <t>Q'TY</t>
  </si>
  <si>
    <t>미구현</t>
  </si>
  <si>
    <t>항상 1</t>
  </si>
  <si>
    <t>수량 UDA 또는 동일부재 집계 규칙</t>
  </si>
  <si>
    <t>필요</t>
  </si>
  <si>
    <t>생산값 아님</t>
  </si>
  <si>
    <t>T/W</t>
  </si>
  <si>
    <t>GWEI 숫자 파싱</t>
  </si>
  <si>
    <t>GWEI</t>
  </si>
  <si>
    <t>요약행은 합계</t>
  </si>
  <si>
    <t>MA</t>
  </si>
  <si>
    <t>데이터행 L / 요약행 F</t>
  </si>
  <si>
    <t>UDA·업무규칙 미정</t>
  </si>
  <si>
    <t>FA</t>
  </si>
  <si>
    <t>항상 F</t>
  </si>
  <si>
    <t>표제부·추가 생산 정보</t>
  </si>
  <si>
    <t>항목</t>
  </si>
  <si>
    <t>현재 값/배선</t>
  </si>
  <si>
    <t>필요 데이터</t>
  </si>
  <si>
    <t>Paint Code</t>
  </si>
  <si>
    <t>Input 165~167 자리만</t>
  </si>
  <si>
    <t>Paint UDA와 다중 코드 규칙</t>
  </si>
  <si>
    <t>값은 아직 채우지 않음</t>
  </si>
  <si>
    <t>PNOD / No Paint</t>
  </si>
  <si>
    <t>값 연결 없음</t>
  </si>
  <si>
    <t>UDA·판정 규칙</t>
  </si>
  <si>
    <t>Paint와 함께 정의</t>
  </si>
  <si>
    <t>Grinding / Welding</t>
  </si>
  <si>
    <t>△</t>
  </si>
  <si>
    <t>분석 필요</t>
  </si>
  <si>
    <t>부재/도면 단위 공법 데이터</t>
  </si>
  <si>
    <t>업무 규칙 우선</t>
  </si>
  <si>
    <t>Note</t>
  </si>
  <si>
    <t>Input 164/200 자리만</t>
  </si>
  <si>
    <t>입력 UI·저장·길이 정책</t>
  </si>
  <si>
    <t>Rev</t>
  </si>
  <si>
    <t>Input 170~199 자리만</t>
  </si>
  <si>
    <t>번호·일자·작성자·변경내용</t>
  </si>
  <si>
    <t>앱 데이터 모델 필요</t>
  </si>
  <si>
    <t>Project Name</t>
  </si>
  <si>
    <t>CEDAR FLNG 고정</t>
  </si>
  <si>
    <t>프로젝트 메타/UDA</t>
  </si>
  <si>
    <t>하드코딩</t>
  </si>
  <si>
    <t>Ship / Project No</t>
  </si>
  <si>
    <t>SN2688 고정</t>
  </si>
  <si>
    <t>정식 필드와 데이터 소스</t>
  </si>
  <si>
    <t>TAG NO</t>
  </si>
  <si>
    <t>조상 UDA STRU</t>
  </si>
  <si>
    <t>시트 종류별 기준노드 보강</t>
  </si>
  <si>
    <t>보강</t>
  </si>
  <si>
    <t>DP No</t>
  </si>
  <si>
    <t>Test 고정</t>
  </si>
  <si>
    <t>정식 UDA/메타</t>
  </si>
  <si>
    <t>회사 로고</t>
  </si>
  <si>
    <t>Logo.png</t>
  </si>
  <si>
    <t>프로젝트별 교체 정책(선택)</t>
  </si>
  <si>
    <t>선택</t>
  </si>
  <si>
    <t>디자인 요소</t>
  </si>
  <si>
    <t>고객/프로젝트 이미지</t>
  </si>
  <si>
    <t>ClientTestImage.png</t>
  </si>
  <si>
    <t>프로젝트별 파일 선택</t>
  </si>
  <si>
    <t>기준일 2026-07-22 · 코드 구현과 실기/생산 검증을 분리해 판정 · 최근 개발 이력 반영</t>
  </si>
  <si>
    <t>우선</t>
  </si>
  <si>
    <t>도면</t>
  </si>
  <si>
    <t>생산 영향</t>
  </si>
  <si>
    <t>다음 조치</t>
  </si>
  <si>
    <t>확인 근거</t>
  </si>
  <si>
    <t>최근 변경</t>
  </si>
  <si>
    <t>가공도</t>
  </si>
  <si>
    <t>첫 2D 캡처 AccessViolation</t>
  </si>
  <si>
    <t>출력 불가</t>
  </si>
  <si>
    <t>가공도·4종 일괄 차단</t>
  </si>
  <si>
    <t>벤더 수정/회신 후 재검증</t>
  </si>
  <si>
    <t>가공도 캡처 경로</t>
  </si>
  <si>
    <t>설치도</t>
  </si>
  <si>
    <t>연결 Part/Body 접합 위치 치수</t>
  </si>
  <si>
    <t>설치 위치 정보 신뢰성</t>
  </si>
  <si>
    <t>대표 STRU PDF로 접촉영역 검증</t>
  </si>
  <si>
    <t>설치도 치수 코드</t>
  </si>
  <si>
    <t>공통</t>
  </si>
  <si>
    <t>ISO 전환·2D 출력 후 3D 잔류 치수</t>
  </si>
  <si>
    <t>다음 조회·연속 출력 상태</t>
  </si>
  <si>
    <t>ISO 전환과 연속 모델 출력 확인</t>
  </si>
  <si>
    <t>공통 정리 코드</t>
  </si>
  <si>
    <t>2D 모서리·홀·실선/은선 누락</t>
  </si>
  <si>
    <t>벤더/API 대기</t>
  </si>
  <si>
    <t>형상 누락</t>
  </si>
  <si>
    <t>재현 부재와 SDK 배포분 비교</t>
  </si>
  <si>
    <t>형상·은선 렌더</t>
  </si>
  <si>
    <t>EA 축척·풍선·은선</t>
  </si>
  <si>
    <t>가공 치수·표현</t>
  </si>
  <si>
    <t>신 DLL 적용 후 EA 실기</t>
  </si>
  <si>
    <t>EA 렌더·SDK</t>
  </si>
  <si>
    <t>BOM</t>
  </si>
  <si>
    <t>Q'TY·MA·FA 실제 데이터</t>
  </si>
  <si>
    <t>개발 필요</t>
  </si>
  <si>
    <t>BOM 생산정보 오류</t>
  </si>
  <si>
    <t>UDA/집계 규칙 확정</t>
  </si>
  <si>
    <t>현재 임시값</t>
  </si>
  <si>
    <t>표제부</t>
  </si>
  <si>
    <t>Paint·DP No·Note·Rev</t>
  </si>
  <si>
    <t>생산/문서정보 누락</t>
  </si>
  <si>
    <t>데이터 원천·입력 UI 확정</t>
  </si>
  <si>
    <t>템플릿 자리만 존재</t>
  </si>
  <si>
    <t>기울어진 부재·대각 치수·라운드·모떼기</t>
  </si>
  <si>
    <t>치수·형상 표현</t>
  </si>
  <si>
    <t>적용 범위와 필터 조건 확정</t>
  </si>
  <si>
    <t>형상·치수 분석</t>
  </si>
  <si>
    <t>최종</t>
  </si>
  <si>
    <t>제작·가공·설치도 최종 생산 출력</t>
  </si>
  <si>
    <t>과제 완료 기준</t>
  </si>
  <si>
    <t>가공도 차단 해소 후 3종 PDF 확정</t>
  </si>
  <si>
    <t>도면별 출력 경로</t>
  </si>
  <si>
    <t>ISO3 / ISO_PLUS</t>
  </si>
  <si>
    <t>ISO3는 SDK의 CameraDirection.ISO_PLUS 뷰로 사용하면 됩니다.</t>
  </si>
  <si>
    <t>완료일</t>
  </si>
  <si>
    <t>코드·실기 확인 기록이 있는 경우만 기록합니다. 확인하기 어려운 초기 이력은 최초일로 사용하지 않습니다.</t>
  </si>
  <si>
    <t>No.</t>
  </si>
  <si>
    <t>도면 종류</t>
  </si>
  <si>
    <t>대분류</t>
  </si>
  <si>
    <t>개발 항목</t>
  </si>
  <si>
    <t>API/코드 구현</t>
  </si>
  <si>
    <t>생산 출력 확인</t>
  </si>
  <si>
    <t>UDA·API / 현재 값</t>
  </si>
  <si>
    <t>추가 API·앱 개발</t>
  </si>
  <si>
    <t>출장 개발</t>
  </si>
  <si>
    <t>최초 구현일</t>
  </si>
  <si>
    <t>완료 확인일</t>
  </si>
  <si>
    <t>최근 변경일</t>
  </si>
  <si>
    <t>근거·비고</t>
  </si>
  <si>
    <t>출력 흐름</t>
  </si>
  <si>
    <t>가공도 자동 일괄 출력</t>
  </si>
  <si>
    <t>자동 STRU 루프에서 현재 강제 제외</t>
  </si>
  <si>
    <t>앱 개발</t>
  </si>
  <si>
    <t>가공도 크래시 해결 후 자동 루프 복구 필요</t>
  </si>
  <si>
    <t>제작·조립·설치·가공</t>
  </si>
  <si>
    <t>현재 항상 1</t>
  </si>
  <si>
    <t>UDA/집계 규칙</t>
  </si>
  <si>
    <t>동일 부재 집계 또는 수량 UDA 정의 필요</t>
  </si>
  <si>
    <t>현재 데이터행 L, 요약행 F 고정</t>
  </si>
  <si>
    <t>UDA/업무 규칙</t>
  </si>
  <si>
    <t>실제 의미와 데이터 원천 미정</t>
  </si>
  <si>
    <t>현재 항상 F</t>
  </si>
  <si>
    <t>페인트 코드</t>
  </si>
  <si>
    <t>템플릿 Input 165~167 자리만 존재</t>
  </si>
  <si>
    <t>UDA/데이터 연결</t>
  </si>
  <si>
    <t>실제 UDA 키와 여러 Paint Code 표기 규칙 필요</t>
  </si>
  <si>
    <t>PNOD / No Paint 표시</t>
  </si>
  <si>
    <t>현재 값 연결 없음</t>
  </si>
  <si>
    <t>기존 파일의 생산 필수 항목; Paint와 함께 정의 필요</t>
  </si>
  <si>
    <t>성능</t>
  </si>
  <si>
    <t>도면 리스트 클릭 즉시 조회 캐시</t>
  </si>
  <si>
    <t>시트별 치수·BOM 사전 준비, Body→Part/UDA 캐시</t>
  </si>
  <si>
    <t>8731 Body 모델에서 반복 재수집 제거</t>
  </si>
  <si>
    <t>2D/가공도 출력 깜빡임 제거</t>
  </si>
  <si>
    <t>Clear2DView의 ViewMode 왕복 제거</t>
  </si>
  <si>
    <t>페이지당 약 600ms 지연도 함께 제거</t>
  </si>
  <si>
    <t>Note 입력·저장·출력</t>
  </si>
  <si>
    <t>Input 164/200 칸은 있으나 입력 소스 없음</t>
  </si>
  <si>
    <t>UI·저장 모델·출력 배선이 모두 필요</t>
  </si>
  <si>
    <t>Rev 입력·이력·출력</t>
  </si>
  <si>
    <t>Input 170~199 Rev 표 자리만 존재</t>
  </si>
  <si>
    <t>Revision 번호/일자/작성자/변경내용 규칙 필요</t>
  </si>
  <si>
    <t>제작·조립·설치</t>
  </si>
  <si>
    <t>현재 Test 하드코딩 → Input 168</t>
  </si>
  <si>
    <t>Test 값 출력은 확인했지만 정식 생산 데이터 연결은 미완료</t>
  </si>
  <si>
    <t>뷰</t>
  </si>
  <si>
    <t>2D Drawing 선·홀·모서리 미표시</t>
  </si>
  <si>
    <t>GenerateEdgeData + Hidden Line 캡처</t>
  </si>
  <si>
    <t>벤더 API/수정</t>
  </si>
  <si>
    <t>일부 부재 재발 사례와 실선·은선 누락 존재</t>
  </si>
  <si>
    <t>레이아웃</t>
  </si>
  <si>
    <t>EA 스케일·실선/은선·측정 풍선</t>
  </si>
  <si>
    <t>현행 보정 코드 + 소프트힐스 배포 대기</t>
  </si>
  <si>
    <t>신 SDK 수령·시그니처 확인 후 적용 필요</t>
  </si>
  <si>
    <t>단면 위주 출력·은선 정책</t>
  </si>
  <si>
    <t>현재 DASH_LINE + 은선 캡처 임시 조합</t>
  </si>
  <si>
    <t>가공도 크래시 우회 상태라 최종 회사 사양 재검증 필요</t>
  </si>
  <si>
    <t>STRU 단위 4종 도면 일괄 출력</t>
  </si>
  <si>
    <t>제작·조립·설치는 경로 존재, 가공도 제외</t>
  </si>
  <si>
    <t>4종 완결 기준으로는 미완료</t>
  </si>
  <si>
    <t>모델 축 틀어짐 현상</t>
  </si>
  <si>
    <t>ORIENTATION UDA 보정은 있으나 형상 기반 ReferenceAxis는 미구현</t>
  </si>
  <si>
    <t>단일 가공도부터 적용하고 다부재 도면은 정렬 기준부재 정책 확정 필요</t>
  </si>
  <si>
    <t>대기</t>
  </si>
  <si>
    <t>SPREF 나머지 + POSSTART/POSEND 3D 거리</t>
  </si>
  <si>
    <t>UDA/규칙 확정</t>
  </si>
  <si>
    <t>현재 숫자 토큰 순서 가정; 생산 형식 검증 필요</t>
  </si>
  <si>
    <t>프로젝트명</t>
  </si>
  <si>
    <t>현재 CEDAR FLNG 하드코딩</t>
  </si>
  <si>
    <t>데이터 연결</t>
  </si>
  <si>
    <t>프로젝트 메타 또는 UDA 연결 필요</t>
  </si>
  <si>
    <t>선박번호 / Project No</t>
  </si>
  <si>
    <t>현재 SN2688 하드코딩</t>
  </si>
  <si>
    <t>정식 필드명과 데이터 소스 확정 필요</t>
  </si>
  <si>
    <t>ISO 표현</t>
  </si>
  <si>
    <t>ISO 부재 풍선 위치 고정·충돌 회피</t>
  </si>
  <si>
    <t>3D 오프셋 + 2D AABB 36회 충돌 회피</t>
  </si>
  <si>
    <t>완전 고정 영역 정책은 아직 보장하지 않음</t>
  </si>
  <si>
    <t>Tag No</t>
  </si>
  <si>
    <t>조상 UDA STRU → Input 169</t>
  </si>
  <si>
    <t>앱 보강</t>
  </si>
  <si>
    <t>테스트 케이스 실기 완료; 음수 BaseMemberIndex 시 공백 가능</t>
  </si>
  <si>
    <t>치수</t>
  </si>
  <si>
    <t>부재 접합 각도 표시</t>
  </si>
  <si>
    <t>Clash/Osnap 기반 MarkNonRightAngles</t>
  </si>
  <si>
    <t>벤더 API/보강</t>
  </si>
  <si>
    <t>자체 구현은 있으나 실기 불명, 벤더 8월 항목</t>
  </si>
  <si>
    <t>형상 정보</t>
  </si>
  <si>
    <t>SlotHole 정보·풍선</t>
  </si>
  <si>
    <t>GetNodeHoleInfo + 길이/폭 계산, 깊이 0</t>
  </si>
  <si>
    <t>깊이 데이터와 표현 규칙 보강 필요</t>
  </si>
  <si>
    <t>최종 산출물</t>
  </si>
  <si>
    <t>제작도·가공도·설치도 최종 생산 출력</t>
  </si>
  <si>
    <t>도면별 개별 경로는 있으나 가공도 차단</t>
  </si>
  <si>
    <t>앱/벤더 보강</t>
  </si>
  <si>
    <t>과제 완료 기준: 3종 최종 PDF와 설명 장표</t>
  </si>
  <si>
    <t>ISO3 뷰 사양 일치</t>
  </si>
  <si>
    <t>CameraDirection.ISO_PLUS (ISO3 확정)</t>
  </si>
  <si>
    <t>ISO3는 ISO_PLUS 뷰로 사양 확정</t>
  </si>
  <si>
    <t>긴 Note 처리 정책</t>
  </si>
  <si>
    <t>고정 크기 Note 박스</t>
  </si>
  <si>
    <t>사양/API 확인</t>
  </si>
  <si>
    <t>글자 제한·말줄임·폰트 축소 중 정책 결정 필요</t>
  </si>
  <si>
    <t>형상</t>
  </si>
  <si>
    <t>라운드 표시</t>
  </si>
  <si>
    <t>사용 가능한 SDK API 미확인</t>
  </si>
  <si>
    <t>벤더 API/분석</t>
  </si>
  <si>
    <t>라운드 판정 조건과 필터링 정의 필요</t>
  </si>
  <si>
    <t>모떼기(챔퍼) 표현</t>
  </si>
  <si>
    <t>추출 방법 미정</t>
  </si>
  <si>
    <t>형상 판정 조건 정의 필요</t>
  </si>
  <si>
    <t>제작도 PDF 자동 출력</t>
  </si>
  <si>
    <t>Excel 템플릿 + 4면도 + BOM</t>
  </si>
  <si>
    <t>코드는 구현됐으며 최종 생산 PDF 점검이 남아 있음</t>
  </si>
  <si>
    <t>조립도 PDF 자동 출력</t>
  </si>
  <si>
    <t>제작도 공통 템플릿 + 조립도 분기</t>
  </si>
  <si>
    <t>기준부재 실선·나머지 점선 표현 실기 검증 필요</t>
  </si>
  <si>
    <t>설치도 PDF 자동 출력</t>
  </si>
  <si>
    <t>선택 STRU + 외부 연결 Assembly</t>
  </si>
  <si>
    <t>접합 위치·연결 치수 코드 완료, 최종 PDF 검증 대기</t>
  </si>
  <si>
    <t>BOM 디자인</t>
  </si>
  <si>
    <t>BOM 미입력 항목 테두리 삭제</t>
  </si>
  <si>
    <t>RemoveEmptyTemplateBorders</t>
  </si>
  <si>
    <t>BOM 빈 행은 정상; 큰 Note 병합 테두리는 별도 미해결</t>
  </si>
  <si>
    <t>BOM 텍스트 줄바꿈·열 너비</t>
  </si>
  <si>
    <t>고정 열 너비 + 폰트 축소</t>
  </si>
  <si>
    <t>앱/템플릿 조정</t>
  </si>
  <si>
    <t>SPREF 실제 샘플과 표준 약어 결정 필요</t>
  </si>
  <si>
    <t>조립도</t>
  </si>
  <si>
    <t>ISO 기준부재 실선 강조</t>
  </si>
  <si>
    <t>기준부재 SOLID, 나머지 LONG_DASHED</t>
  </si>
  <si>
    <t>기준부재 실선·나머지 점선과 위치 정합을 실기 확인함</t>
  </si>
  <si>
    <t>제작도</t>
  </si>
  <si>
    <t>연결 부재 점선 CropFit</t>
  </si>
  <si>
    <t>Clash 이웃 + CropFit2DViewObjectByNodeIDs</t>
  </si>
  <si>
    <t>연결 부재 점선·Crop 범위·위치 정합을 실기 확인함</t>
  </si>
  <si>
    <t>Grinding / Welding 공법 표시</t>
  </si>
  <si>
    <t>부재별/도면별 공법 데이터 위치 확인 필요</t>
  </si>
  <si>
    <t>도면 연결부재·외부 Assembly 표시</t>
  </si>
  <si>
    <t>InstallationContextIndices + LONG_DASHED</t>
  </si>
  <si>
    <t>4개 뷰 코드 반영, 실기 PDF 대기</t>
  </si>
  <si>
    <t>제작·설치</t>
  </si>
  <si>
    <t>연결부재 Assembly/Part 이름 표시</t>
  </si>
  <si>
    <t>Clash HotPoint + Add2DNoteFromWorldCoordinate</t>
  </si>
  <si>
    <t>기존 엑셀의 출장 개발 표시를 유지</t>
  </si>
  <si>
    <t>연결부재·기준부재 접합 위치 치수</t>
  </si>
  <si>
    <t>HotPoint + Part/Body Osnap 접촉 구간</t>
  </si>
  <si>
    <t>코드 완료, 동일 Part의 분리 영역 등 실기 확인 필요</t>
  </si>
  <si>
    <t>Hole 정보·풍선</t>
  </si>
  <si>
    <t>SDK GetNodeHoleInfo</t>
  </si>
  <si>
    <t>PDF 크래시 때문에 최종 생산 출력 검증 불가</t>
  </si>
  <si>
    <t>EarthBoss 정보·풍선</t>
  </si>
  <si>
    <t>UDA PURPOSE=EBOS</t>
  </si>
  <si>
    <t>PDF 크래시 해결 후 최종 확인</t>
  </si>
  <si>
    <t>가공도 EA 상하 2뷰 배치</t>
  </si>
  <si>
    <t>EA 판정=SPREF, 독립 카메라·스왑·미러</t>
  </si>
  <si>
    <t>가로화·축척·실선/은선 실기 재확인 필요</t>
  </si>
  <si>
    <t>ISO 뷰 모델 출력</t>
  </si>
  <si>
    <t>CameraDirection.ISO_PLUS</t>
  </si>
  <si>
    <t>뷰 자체는 구현; 일부 부재 선·홀 누락은 별도 항목</t>
  </si>
  <si>
    <t>도면 종류 자동 표기</t>
  </si>
  <si>
    <t>GetSheetKindLabel</t>
  </si>
  <si>
    <t>제작도·조립도·설치도·가공도 라벨</t>
  </si>
  <si>
    <t>이미지</t>
  </si>
  <si>
    <t>{Image_3} + Logo.png</t>
  </si>
  <si>
    <t>현재 정적 파일 방식</t>
  </si>
  <si>
    <t>고객·프로젝트 이미지</t>
  </si>
  <si>
    <t>{Image_4} + ClientTestImage.png</t>
  </si>
  <si>
    <t>데이터/파일 선택</t>
  </si>
  <si>
    <t>테스트 이미지 고정, 프로젝트별 공급 방식 미구현</t>
  </si>
  <si>
    <t>다중 이미지 첨부</t>
  </si>
  <si>
    <t>ImportExcelWithData 3인자 imageMapping</t>
  </si>
  <si>
    <t>기존 파일의 출장 개발 표시를 유지</t>
  </si>
  <si>
    <t>North / ISO 방향 화살표</t>
  </si>
  <si>
    <t>{Image_1}/{Image_2}</t>
  </si>
  <si>
    <t>가공도에도 동일 적용</t>
  </si>
  <si>
    <t>평면도 모델 출력</t>
  </si>
  <si>
    <t>CameraDirection.Z_MINUS (-Z)</t>
  </si>
  <si>
    <t>사용자 요구 방향과 일치</t>
  </si>
  <si>
    <t>정면도 모델 출력</t>
  </si>
  <si>
    <t>CameraDirection.X_MINUS (-X)</t>
  </si>
  <si>
    <t>제작·조립</t>
  </si>
  <si>
    <t>치수 대각선 표시</t>
  </si>
  <si>
    <t>AddCustomDistance + ShapeDrawing 조합으로 구현 가능성 확인</t>
  </si>
  <si>
    <t>참조축 정렬 후 실제 사선 모서리만 후보로 사용; 적용 도면·허용각·최소 길이 결정 필요</t>
  </si>
  <si>
    <t>측면도 모델 출력</t>
  </si>
  <si>
    <t>CameraDirection.Y_MINUS (-Y)</t>
  </si>
  <si>
    <t>치수 디자인</t>
  </si>
  <si>
    <t>치수 텍스트 겹침 회피</t>
  </si>
  <si>
    <t>일부 수동 시프트 이력, 충돌 판정 미정</t>
  </si>
  <si>
    <t>벤더 API/앱 개발</t>
  </si>
  <si>
    <t>기존 파일의 출장 개발 O; 완료일 표시는 제거</t>
  </si>
  <si>
    <t>BOM 번호와 ISO 풍선 번호 동기화</t>
  </si>
  <si>
    <t>BOM No 매핑 → CreateIsoBalloonNotes</t>
  </si>
  <si>
    <t>UDA가 아니라 앱이 생성한 BOM 순번 사용</t>
  </si>
  <si>
    <t>BOM 테이블 출력</t>
  </si>
  <si>
    <t>Excel Input 태그 + lvDrawingBOMInfo</t>
  </si>
  <si>
    <t>8개 열 구조와 템플릿 출력 구현</t>
  </si>
  <si>
    <t>가공도 텍스트-모델 충돌</t>
  </si>
  <si>
    <t>배치 충돌 판정 없음</t>
  </si>
  <si>
    <t>생산 정보 자체보다 가독성 디자인 항목</t>
  </si>
  <si>
    <t>앱이 Part/BOM 순번으로 생성 (UDA 아님)</t>
  </si>
  <si>
    <t>ISO 풍선과 동일 번호 사용</t>
  </si>
  <si>
    <t>UDA SPREF 앞 구간</t>
  </si>
  <si>
    <t>첫 / 제거 후 / 또는 : 앞부분</t>
  </si>
  <si>
    <t>UDA MATREF</t>
  </si>
  <si>
    <t>UDA GWEI, 숫자 파싱·소수 2자리</t>
  </si>
  <si>
    <t>요약행은 개별 중량 합계</t>
  </si>
  <si>
    <t>BOM 25행 확장</t>
  </si>
  <si>
    <t>Input 1~20행=4~163, 21~25행=201~240</t>
  </si>
  <si>
    <t>Input 240까지 제작도 실기 렌더 확인</t>
  </si>
  <si>
    <t>평면·정면·측면 기본/체인 치수</t>
  </si>
  <si>
    <t>Osnap 기반 ShowAllDimensions</t>
  </si>
  <si>
    <t>외곽 배치·보조선 기준 실기 확인 완료</t>
  </si>
  <si>
    <t>미리보기</t>
  </si>
  <si>
    <t>3D 미리보기 형상 풍선 숨김</t>
  </si>
  <si>
    <t>공통 장면 생성 후 3D Review Note 정리</t>
  </si>
  <si>
    <t>3D 미리보기 풍선은 숨기고 PDF의 Hole·SlotHole·EarthBoss 풍선은 유지; 실기 확인 대기</t>
  </si>
  <si>
    <t>제작·가공</t>
  </si>
  <si>
    <t>보조선 종이 절대 길이·간격</t>
  </si>
  <si>
    <t>제작 7.5/15mm, 가공 9/18mm, gap 2mm</t>
  </si>
  <si>
    <t>모델 크기와 무관한 종이 기준</t>
  </si>
  <si>
    <t>템플릿</t>
  </si>
  <si>
    <t>템플릿 사전 변환</t>
  </si>
  <si>
    <t>해당없음</t>
  </si>
  <si>
    <t>JSON 사전변환은 폐기, 소형 Excel 직접 Import로 확정</t>
  </si>
  <si>
    <t>동적 BOM에서는 사전변환 부적합이라는 기술 결론</t>
  </si>
  <si>
    <t>자동화 UX</t>
  </si>
  <si>
    <t>간섭검사 진행창 숨기기</t>
  </si>
  <si>
    <t>검사 ID별 progressForm=false 직렬 실행</t>
  </si>
  <si>
    <t>진행창 숨김·후속 검사 전환·마지막 도면 리스트 생성을 실기 확인함</t>
  </si>
  <si>
    <t>가공도 수동 PDF 출력</t>
  </si>
  <si>
    <t>Excel 가공도 템플릿 + 2D 캡처</t>
  </si>
  <si>
    <t>첫 2D 캡처에서 AccessViolation 발생</t>
  </si>
  <si>
    <t>3D 미리보기</t>
  </si>
  <si>
    <t>ISO 전환 시 이전 X/Y/Z 치수·보조선 정리</t>
  </si>
  <si>
    <t>ISO/X/Y/Z 진입 전에 Review.Measure·ShapeDrawing 정리</t>
  </si>
  <si>
    <t>ISO에는 BOM 풍선만 남고 X/Y/Z와 2D 도면의 치수 데이터 경로는 유지; 실기 확인 대기</t>
  </si>
  <si>
    <t>출력 후 정리</t>
  </si>
  <si>
    <t>2D 출력 후 3D 임시 치수·보조선 정리</t>
  </si>
  <si>
    <t>공통 출력 wrapper의 finally에서 3D Measure·ShapeDrawing 정리</t>
  </si>
  <si>
    <t>Excel 템플릿·직접 그리기·예외 경로에 공통 적용하고 2D 객체는 유지; 연속 출력 실기 확인 대기</t>
  </si>
  <si>
    <t>ISO_PLUS</t>
  </si>
  <si>
    <t>ISO3는 ISO_PLUS 뷰로 확정</t>
  </si>
  <si>
    <t>입력 UI·긴 텍스트·빈칸 테두리 정책 필요</t>
  </si>
  <si>
    <t>테스트 케이스 출력 확인, 시트 종류별 기준노드 보강</t>
  </si>
  <si>
    <t>Test 값은 확인했지만 정식 생산 데이터 연결은 미완료</t>
  </si>
  <si>
    <t>추가 형상·출력 상태 정리</t>
  </si>
  <si>
    <t>현재 방식</t>
  </si>
  <si>
    <t>필요 보강</t>
  </si>
  <si>
    <t>기울어진 부재 정렬</t>
  </si>
  <si>
    <t>ORIENTATION UDA 기반 회전</t>
  </si>
  <si>
    <t>형상 기반 ReferenceAxis 정렬</t>
  </si>
  <si>
    <t>단일 가공도부터 적용, 다부재 기준 정책 필요</t>
  </si>
  <si>
    <t>대각 치수</t>
  </si>
  <si>
    <t>축 방향 체인 치수만 존재</t>
  </si>
  <si>
    <t>실제 사선 모서리 후보·중복·허용각 규칙</t>
  </si>
  <si>
    <t>참조축 정렬 이후 적용 범위 확정</t>
  </si>
  <si>
    <t>ISO 미리보기 상태 정리</t>
  </si>
  <si>
    <t>진입 시 Measure·ShapeDrawing 초기화</t>
  </si>
  <si>
    <t>연속 뷰 전환 실기 확인</t>
  </si>
  <si>
    <t>ISO에는 BOM 풍선만 유지</t>
  </si>
  <si>
    <t>2D 출력 후 임시 치수 정리</t>
  </si>
  <si>
    <t>출력 종료 finally에서 3D 임시 객체 정리</t>
  </si>
  <si>
    <t>연속 모델 출력 확인</t>
  </si>
  <si>
    <t>2D 객체는 유지</t>
  </si>
  <si>
    <t>개발일은 현재 코드와 변경 기록에서 확인 가능한 날짜만 반영했습니다.</t>
  </si>
  <si>
    <t>확인하기 어려운 초기 개발 이력은 최초 구현일로 사용하지 않았습니다.</t>
  </si>
  <si>
    <t>주요 확인 자료: 도면 출력·BOM·가공도·설치도 기능 문서와 현재 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</si>
</sst>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4" x14ac:knownFonts="1">
    <font>
      <sz val="11"/>
      <color theme="1"/>
      <name val="맑은 고딕"/>
    </font>
    <font>
      <sz val="11"/>
      <color theme="1"/>
      <name val="Noto Sans KR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sz val="11"/>
      <color rgb="FF222222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i/>
      <sz val="11"/>
      <color theme="1"/>
      <name val="맑은 고딕"/>
      <family val="3"/>
      <charset val="129"/>
    </font>
    <font>
      <i/>
      <sz val="11"/>
      <color rgb="FF595959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FFFF"/>
      <name val="Noto Sans KR"/>
      <family val="3"/>
      <charset val="129"/>
    </font>
    <font>
      <i/>
      <sz val="11"/>
      <color theme="1"/>
      <name val="Noto Sans KR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333333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F3F6F8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0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8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6" fillId="8" borderId="7" xfId="0" applyFont="1" applyFill="1" applyBorder="1">
      <alignment vertical="center"/>
    </xf>
    <xf numFmtId="0" fontId="1" fillId="0" borderId="0" xfId="0" applyFont="1">
      <alignment vertical="center"/>
    </xf>
    <xf numFmtId="0" fontId="12" fillId="10" borderId="7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176" fontId="13" fillId="0" borderId="8" xfId="0" applyNumberFormat="1" applyFont="1" applyBorder="1" applyAlignment="1">
      <alignment horizontal="center" vertical="center" wrapText="1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5" fillId="3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1" fontId="4" fillId="4" borderId="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1" fillId="3" borderId="0" xfId="0" applyFont="1" applyFill="1">
      <alignment vertical="center"/>
    </xf>
    <xf numFmtId="0" fontId="1" fillId="9" borderId="0" xfId="0" applyFont="1" applyFill="1">
      <alignment vertical="center"/>
    </xf>
    <xf numFmtId="0" fontId="7" fillId="3" borderId="0" xfId="0" applyFont="1" applyFill="1">
      <alignment vertical="center"/>
    </xf>
    <xf numFmtId="0" fontId="2" fillId="11" borderId="0" xfId="0" applyFont="1" applyFill="1">
      <alignment vertical="center"/>
    </xf>
    <xf numFmtId="0" fontId="8" fillId="12" borderId="9" xfId="0" applyFont="1" applyFill="1" applyBorder="1" applyAlignment="1">
      <alignment vertical="center" wrapText="1"/>
    </xf>
    <xf numFmtId="0" fontId="8" fillId="12" borderId="10" xfId="0" applyFont="1" applyFill="1" applyBorder="1" applyAlignment="1">
      <alignment vertical="center" wrapText="1"/>
    </xf>
    <xf numFmtId="0" fontId="8" fillId="12" borderId="11" xfId="0" applyFont="1" applyFill="1" applyBorder="1" applyAlignment="1">
      <alignment vertical="center" wrapText="1"/>
    </xf>
    <xf numFmtId="0" fontId="8" fillId="12" borderId="12" xfId="0" applyFont="1" applyFill="1" applyBorder="1" applyAlignment="1">
      <alignment vertical="center" wrapText="1"/>
    </xf>
    <xf numFmtId="0" fontId="8" fillId="12" borderId="0" xfId="0" applyFont="1" applyFill="1" applyAlignment="1">
      <alignment vertical="center" wrapText="1"/>
    </xf>
    <xf numFmtId="0" fontId="8" fillId="12" borderId="13" xfId="0" applyFont="1" applyFill="1" applyBorder="1" applyAlignment="1">
      <alignment vertical="center" wrapText="1"/>
    </xf>
    <xf numFmtId="0" fontId="8" fillId="12" borderId="14" xfId="0" applyFont="1" applyFill="1" applyBorder="1" applyAlignment="1">
      <alignment vertical="center" wrapText="1"/>
    </xf>
    <xf numFmtId="0" fontId="8" fillId="12" borderId="15" xfId="0" applyFont="1" applyFill="1" applyBorder="1" applyAlignment="1">
      <alignment vertical="center" wrapText="1"/>
    </xf>
    <xf numFmtId="0" fontId="8" fillId="12" borderId="16" xfId="0" applyFont="1" applyFill="1" applyBorder="1" applyAlignment="1">
      <alignment vertical="center" wrapText="1"/>
    </xf>
    <xf numFmtId="0" fontId="0" fillId="9" borderId="17" xfId="0" applyFill="1" applyBorder="1" applyAlignment="1">
      <alignment vertical="center" wrapText="1"/>
    </xf>
    <xf numFmtId="0" fontId="0" fillId="9" borderId="18" xfId="0" applyFill="1" applyBorder="1" applyAlignment="1">
      <alignment vertical="center" wrapText="1"/>
    </xf>
    <xf numFmtId="0" fontId="0" fillId="9" borderId="19" xfId="0" applyFill="1" applyBorder="1" applyAlignment="1">
      <alignment vertical="center" wrapText="1"/>
    </xf>
    <xf numFmtId="0" fontId="2" fillId="2" borderId="15" xfId="0" applyFont="1" applyFill="1" applyBorder="1">
      <alignment vertical="center"/>
    </xf>
  </cellXfs>
  <cellStyles count="1">
    <cellStyle name="표준" xfId="0" builtinId="0"/>
  </cellStyles>
  <dxfs count="11"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33333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22222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DrawingDevelopmentStatus" displayName="DrawingDevelopmentStatus" ref="A5:Q74" totalsRowShown="0">
  <autoFilter ref="A5:Q74" xr:uid="{00000000-0009-0000-0100-000003000000}"/>
  <tableColumns count="17">
    <tableColumn id="1" xr3:uid="{00000000-0010-0000-0000-000001000000}" name="No."/>
    <tableColumn id="2" xr3:uid="{00000000-0010-0000-0000-000002000000}" name="도면 종류"/>
    <tableColumn id="3" xr3:uid="{00000000-0010-0000-0000-000003000000}" name="대분류"/>
    <tableColumn id="4" xr3:uid="{00000000-0010-0000-0000-000004000000}" name="개발 항목"/>
    <tableColumn id="5" xr3:uid="{00000000-0010-0000-0000-000005000000}" name="생산 필수"/>
    <tableColumn id="6" xr3:uid="{00000000-0010-0000-0000-000006000000}" name="디자인 요소"/>
    <tableColumn id="7" xr3:uid="{00000000-0010-0000-0000-000007000000}" name="API/코드 구현"/>
    <tableColumn id="8" xr3:uid="{00000000-0010-0000-0000-000008000000}" name="생산 출력 확인"/>
    <tableColumn id="9" xr3:uid="{00000000-0010-0000-0000-000009000000}" name="현재 상태"/>
    <tableColumn id="10" xr3:uid="{00000000-0010-0000-0000-00000A000000}" name="UDA·API / 현재 값"/>
    <tableColumn id="11" xr3:uid="{00000000-0010-0000-0000-00000B000000}" name="추가 API·앱 개발"/>
    <tableColumn id="12" xr3:uid="{00000000-0010-0000-0000-00000C000000}" name="추가 분석"/>
    <tableColumn id="13" xr3:uid="{00000000-0010-0000-0000-00000D000000}" name="출장 개발"/>
    <tableColumn id="14" xr3:uid="{00000000-0010-0000-0000-00000E000000}" name="최초 구현일"/>
    <tableColumn id="15" xr3:uid="{00000000-0010-0000-0000-00000F000000}" name="완료 확인일"/>
    <tableColumn id="16" xr3:uid="{00000000-0010-0000-0000-000010000000}" name="최근 변경일"/>
    <tableColumn id="17" xr3:uid="{00000000-0010-0000-0000-000011000000}" name="근거·비고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zoomScale="70" zoomScaleNormal="70" workbookViewId="0">
      <selection activeCell="K11" sqref="K11"/>
    </sheetView>
  </sheetViews>
  <sheetFormatPr defaultRowHeight="18" x14ac:dyDescent="0.4"/>
  <cols>
    <col min="1" max="1" width="19.19921875" style="1" bestFit="1" customWidth="1"/>
    <col min="2" max="2" width="6.796875" style="1" bestFit="1" customWidth="1"/>
    <col min="3" max="3" width="35.69921875" style="1" customWidth="1"/>
    <col min="4" max="4" width="13.69921875" style="1" bestFit="1" customWidth="1"/>
    <col min="5" max="5" width="20.19921875" style="1" customWidth="1"/>
    <col min="6" max="6" width="30.69921875" style="1" bestFit="1" customWidth="1"/>
    <col min="7" max="7" width="17.59765625" bestFit="1" customWidth="1"/>
    <col min="8" max="8" width="11.19921875" bestFit="1" customWidth="1"/>
    <col min="9" max="16384" width="8.796875" style="1"/>
  </cols>
  <sheetData>
    <row r="1" spans="1:8" ht="34.049999999999997" customHeight="1" x14ac:dyDescent="0.4">
      <c r="A1" s="11" t="s">
        <v>0</v>
      </c>
      <c r="B1" s="11"/>
      <c r="C1" s="11"/>
      <c r="D1" s="11"/>
      <c r="E1" s="11"/>
      <c r="F1" s="11"/>
      <c r="G1" s="11"/>
      <c r="H1" s="11"/>
    </row>
    <row r="2" spans="1:8" x14ac:dyDescent="0.4">
      <c r="A2" s="12" t="s">
        <v>130</v>
      </c>
      <c r="B2" s="12"/>
      <c r="C2" s="12"/>
      <c r="D2" s="12"/>
      <c r="E2" s="12"/>
      <c r="F2" s="12"/>
      <c r="G2" s="12"/>
      <c r="H2" s="12"/>
    </row>
    <row r="3" spans="1:8" ht="18.600000000000001" thickBot="1" x14ac:dyDescent="0.45">
      <c r="A3"/>
      <c r="B3"/>
      <c r="C3"/>
      <c r="D3"/>
      <c r="E3"/>
      <c r="F3"/>
    </row>
    <row r="4" spans="1:8" ht="18.600000000000001" thickBot="1" x14ac:dyDescent="0.45">
      <c r="A4" s="13" t="s">
        <v>1</v>
      </c>
      <c r="B4" s="14"/>
      <c r="C4" s="19" t="s">
        <v>2</v>
      </c>
      <c r="D4" s="20"/>
      <c r="E4" s="21" t="s">
        <v>3</v>
      </c>
      <c r="F4" s="22"/>
      <c r="G4" s="23" t="s">
        <v>4</v>
      </c>
      <c r="H4" s="24"/>
    </row>
    <row r="5" spans="1:8" x14ac:dyDescent="0.4">
      <c r="A5" s="15">
        <f>COUNTA('개발 항목'!$D$6:$D$74)</f>
        <v>69</v>
      </c>
      <c r="B5" s="16"/>
      <c r="C5" s="15">
        <f>COUNTIF('개발 항목'!$I$6:$I$74,"완료")</f>
        <v>25</v>
      </c>
      <c r="D5" s="16"/>
      <c r="E5" s="15">
        <f>COUNTIF('개발 항목'!$I$6:$I$74,"실기 검증 대기")</f>
        <v>12</v>
      </c>
      <c r="F5" s="16"/>
      <c r="G5" s="15">
        <f>COUNTIFS('개발 항목'!$E$6:$E$74,"○",'개발 항목'!$H$6:$H$74,"&lt;&gt;O")</f>
        <v>35</v>
      </c>
      <c r="H5" s="16"/>
    </row>
    <row r="6" spans="1:8" ht="18.600000000000001" thickBot="1" x14ac:dyDescent="0.45">
      <c r="A6" s="17"/>
      <c r="B6" s="18"/>
      <c r="C6" s="17"/>
      <c r="D6" s="18"/>
      <c r="E6" s="17"/>
      <c r="F6" s="18"/>
      <c r="G6" s="17"/>
      <c r="H6" s="18"/>
    </row>
    <row r="7" spans="1:8" x14ac:dyDescent="0.4">
      <c r="A7"/>
      <c r="B7"/>
      <c r="C7"/>
      <c r="D7"/>
      <c r="E7"/>
      <c r="F7"/>
    </row>
    <row r="8" spans="1:8" x14ac:dyDescent="0.4">
      <c r="A8" s="42" t="s">
        <v>5</v>
      </c>
      <c r="B8" s="42"/>
      <c r="C8" s="42"/>
      <c r="D8" s="42"/>
      <c r="E8" s="42"/>
      <c r="F8" s="42"/>
      <c r="G8" s="42"/>
      <c r="H8" s="42"/>
    </row>
    <row r="9" spans="1:8" ht="18" customHeight="1" x14ac:dyDescent="0.4">
      <c r="A9" s="6" t="s">
        <v>131</v>
      </c>
      <c r="B9" s="6" t="s">
        <v>132</v>
      </c>
      <c r="C9" s="6" t="s">
        <v>85</v>
      </c>
      <c r="D9" s="6" t="s">
        <v>22</v>
      </c>
      <c r="E9" s="6" t="s">
        <v>133</v>
      </c>
      <c r="F9" s="6" t="s">
        <v>134</v>
      </c>
      <c r="G9" s="6" t="s">
        <v>135</v>
      </c>
      <c r="H9" s="6" t="s">
        <v>136</v>
      </c>
    </row>
    <row r="10" spans="1:8" ht="42" customHeight="1" x14ac:dyDescent="0.4">
      <c r="A10" s="8">
        <v>1</v>
      </c>
      <c r="B10" s="7" t="s">
        <v>137</v>
      </c>
      <c r="C10" s="7" t="s">
        <v>138</v>
      </c>
      <c r="D10" s="8" t="s">
        <v>139</v>
      </c>
      <c r="E10" s="7" t="s">
        <v>140</v>
      </c>
      <c r="F10" s="7" t="s">
        <v>141</v>
      </c>
      <c r="G10" s="7" t="s">
        <v>142</v>
      </c>
      <c r="H10" s="9">
        <v>46224</v>
      </c>
    </row>
    <row r="11" spans="1:8" ht="42" customHeight="1" x14ac:dyDescent="0.4">
      <c r="A11" s="8">
        <v>2</v>
      </c>
      <c r="B11" s="7" t="s">
        <v>143</v>
      </c>
      <c r="C11" s="7" t="s">
        <v>144</v>
      </c>
      <c r="D11" s="8" t="s">
        <v>3</v>
      </c>
      <c r="E11" s="7" t="s">
        <v>145</v>
      </c>
      <c r="F11" s="7" t="s">
        <v>146</v>
      </c>
      <c r="G11" s="7" t="s">
        <v>147</v>
      </c>
      <c r="H11" s="9">
        <v>46224</v>
      </c>
    </row>
    <row r="12" spans="1:8" ht="42" customHeight="1" x14ac:dyDescent="0.4">
      <c r="A12" s="8">
        <v>3</v>
      </c>
      <c r="B12" s="7" t="s">
        <v>148</v>
      </c>
      <c r="C12" s="7" t="s">
        <v>149</v>
      </c>
      <c r="D12" s="8" t="s">
        <v>3</v>
      </c>
      <c r="E12" s="7" t="s">
        <v>150</v>
      </c>
      <c r="F12" s="7" t="s">
        <v>151</v>
      </c>
      <c r="G12" s="7" t="s">
        <v>152</v>
      </c>
      <c r="H12" s="9">
        <v>46225</v>
      </c>
    </row>
    <row r="13" spans="1:8" ht="42" customHeight="1" x14ac:dyDescent="0.4">
      <c r="A13" s="8">
        <v>4</v>
      </c>
      <c r="B13" s="7" t="s">
        <v>148</v>
      </c>
      <c r="C13" s="7" t="s">
        <v>153</v>
      </c>
      <c r="D13" s="8" t="s">
        <v>154</v>
      </c>
      <c r="E13" s="7" t="s">
        <v>155</v>
      </c>
      <c r="F13" s="7" t="s">
        <v>156</v>
      </c>
      <c r="G13" s="7" t="s">
        <v>157</v>
      </c>
      <c r="H13" s="9">
        <v>46224</v>
      </c>
    </row>
    <row r="14" spans="1:8" ht="42" customHeight="1" x14ac:dyDescent="0.4">
      <c r="A14" s="8">
        <v>5</v>
      </c>
      <c r="B14" s="7" t="s">
        <v>137</v>
      </c>
      <c r="C14" s="7" t="s">
        <v>158</v>
      </c>
      <c r="D14" s="8" t="s">
        <v>154</v>
      </c>
      <c r="E14" s="7" t="s">
        <v>159</v>
      </c>
      <c r="F14" s="7" t="s">
        <v>160</v>
      </c>
      <c r="G14" s="7" t="s">
        <v>161</v>
      </c>
      <c r="H14" s="9">
        <v>46224</v>
      </c>
    </row>
    <row r="15" spans="1:8" ht="42" customHeight="1" x14ac:dyDescent="0.4">
      <c r="A15" s="8">
        <v>6</v>
      </c>
      <c r="B15" s="7" t="s">
        <v>162</v>
      </c>
      <c r="C15" s="7" t="s">
        <v>163</v>
      </c>
      <c r="D15" s="8" t="s">
        <v>164</v>
      </c>
      <c r="E15" s="7" t="s">
        <v>165</v>
      </c>
      <c r="F15" s="7" t="s">
        <v>166</v>
      </c>
      <c r="G15" s="7" t="s">
        <v>167</v>
      </c>
      <c r="H15" s="9">
        <v>46225</v>
      </c>
    </row>
    <row r="16" spans="1:8" ht="42" customHeight="1" x14ac:dyDescent="0.4">
      <c r="A16" s="8">
        <v>7</v>
      </c>
      <c r="B16" s="7" t="s">
        <v>168</v>
      </c>
      <c r="C16" s="7" t="s">
        <v>169</v>
      </c>
      <c r="D16" s="8" t="s">
        <v>164</v>
      </c>
      <c r="E16" s="7" t="s">
        <v>170</v>
      </c>
      <c r="F16" s="7" t="s">
        <v>171</v>
      </c>
      <c r="G16" s="7" t="s">
        <v>172</v>
      </c>
      <c r="H16" s="9">
        <v>46225</v>
      </c>
    </row>
    <row r="17" spans="1:8" ht="42" customHeight="1" x14ac:dyDescent="0.4">
      <c r="A17" s="8">
        <v>8</v>
      </c>
      <c r="B17" s="7" t="s">
        <v>148</v>
      </c>
      <c r="C17" s="7" t="s">
        <v>173</v>
      </c>
      <c r="D17" s="8" t="s">
        <v>98</v>
      </c>
      <c r="E17" s="7" t="s">
        <v>174</v>
      </c>
      <c r="F17" s="7" t="s">
        <v>175</v>
      </c>
      <c r="G17" s="7" t="s">
        <v>176</v>
      </c>
      <c r="H17" s="9">
        <v>46225</v>
      </c>
    </row>
    <row r="18" spans="1:8" ht="42" customHeight="1" x14ac:dyDescent="0.4">
      <c r="A18" s="8">
        <v>9</v>
      </c>
      <c r="B18" s="7" t="s">
        <v>177</v>
      </c>
      <c r="C18" s="7" t="s">
        <v>178</v>
      </c>
      <c r="D18" s="8" t="s">
        <v>64</v>
      </c>
      <c r="E18" s="7" t="s">
        <v>179</v>
      </c>
      <c r="F18" s="7" t="s">
        <v>180</v>
      </c>
      <c r="G18" s="7" t="s">
        <v>181</v>
      </c>
      <c r="H18" s="9">
        <v>46225</v>
      </c>
    </row>
    <row r="19" spans="1:8" ht="18" customHeight="1" x14ac:dyDescent="0.4">
      <c r="A19"/>
      <c r="B19"/>
      <c r="C19"/>
      <c r="D19"/>
      <c r="E19"/>
      <c r="F19"/>
    </row>
    <row r="20" spans="1:8" ht="18" customHeight="1" x14ac:dyDescent="0.4">
      <c r="A20" s="42" t="s">
        <v>6</v>
      </c>
      <c r="B20" s="42"/>
      <c r="C20" s="42"/>
      <c r="D20" s="42"/>
      <c r="E20" s="42"/>
      <c r="F20" s="42"/>
      <c r="G20" s="42"/>
      <c r="H20" s="42"/>
    </row>
    <row r="21" spans="1:8" ht="30" customHeight="1" x14ac:dyDescent="0.4">
      <c r="A21" s="4" t="s">
        <v>182</v>
      </c>
      <c r="B21" s="39" t="s">
        <v>183</v>
      </c>
      <c r="C21" s="40"/>
      <c r="D21" s="40"/>
      <c r="E21" s="40"/>
      <c r="F21" s="40"/>
      <c r="G21" s="40"/>
      <c r="H21" s="41"/>
    </row>
    <row r="22" spans="1:8" ht="30" customHeight="1" x14ac:dyDescent="0.4">
      <c r="A22" s="4" t="s">
        <v>7</v>
      </c>
      <c r="B22" s="39" t="s">
        <v>8</v>
      </c>
      <c r="C22" s="40"/>
      <c r="D22" s="40"/>
      <c r="E22" s="40"/>
      <c r="F22" s="40"/>
      <c r="G22" s="40"/>
      <c r="H22" s="41"/>
    </row>
    <row r="23" spans="1:8" ht="30" customHeight="1" x14ac:dyDescent="0.4">
      <c r="A23" s="4" t="s">
        <v>9</v>
      </c>
      <c r="B23" s="39" t="s">
        <v>10</v>
      </c>
      <c r="C23" s="40"/>
      <c r="D23" s="40"/>
      <c r="E23" s="40"/>
      <c r="F23" s="40"/>
      <c r="G23" s="40"/>
      <c r="H23" s="41"/>
    </row>
    <row r="24" spans="1:8" ht="30" customHeight="1" x14ac:dyDescent="0.4">
      <c r="A24" s="4" t="s">
        <v>11</v>
      </c>
      <c r="B24" s="39" t="s">
        <v>12</v>
      </c>
      <c r="C24" s="40"/>
      <c r="D24" s="40"/>
      <c r="E24" s="40"/>
      <c r="F24" s="40"/>
      <c r="G24" s="40"/>
      <c r="H24" s="41"/>
    </row>
    <row r="25" spans="1:8" ht="30" customHeight="1" x14ac:dyDescent="0.4">
      <c r="A25" s="4" t="s">
        <v>184</v>
      </c>
      <c r="B25" s="39" t="s">
        <v>185</v>
      </c>
      <c r="C25" s="40"/>
      <c r="D25" s="40"/>
      <c r="E25" s="40"/>
      <c r="F25" s="40"/>
      <c r="G25" s="40"/>
      <c r="H25" s="41"/>
    </row>
  </sheetData>
  <mergeCells count="17">
    <mergeCell ref="A1:H1"/>
    <mergeCell ref="A2:H2"/>
    <mergeCell ref="A4:B4"/>
    <mergeCell ref="A5:B6"/>
    <mergeCell ref="C4:D4"/>
    <mergeCell ref="C5:D6"/>
    <mergeCell ref="E4:F4"/>
    <mergeCell ref="E5:F6"/>
    <mergeCell ref="G4:H4"/>
    <mergeCell ref="G5:H6"/>
    <mergeCell ref="B24:H24"/>
    <mergeCell ref="B25:H25"/>
    <mergeCell ref="A8:H8"/>
    <mergeCell ref="A20:H20"/>
    <mergeCell ref="B22:H22"/>
    <mergeCell ref="B23:H23"/>
    <mergeCell ref="B21:H2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4"/>
  <sheetViews>
    <sheetView showGridLines="0" tabSelected="1" topLeftCell="A56" zoomScale="40" zoomScaleNormal="40" workbookViewId="0">
      <selection activeCell="S66" sqref="S66"/>
    </sheetView>
  </sheetViews>
  <sheetFormatPr defaultRowHeight="18" x14ac:dyDescent="0.4"/>
  <cols>
    <col min="1" max="1" width="10.3984375" style="5" bestFit="1" customWidth="1"/>
    <col min="2" max="2" width="17.796875" style="5" customWidth="1"/>
    <col min="3" max="3" width="13" style="5" bestFit="1" customWidth="1"/>
    <col min="4" max="4" width="30.5" style="5" bestFit="1" customWidth="1"/>
    <col min="5" max="5" width="13.69921875" style="5" bestFit="1" customWidth="1"/>
    <col min="6" max="6" width="13.19921875" style="5" bestFit="1" customWidth="1"/>
    <col min="7" max="7" width="15" style="5" bestFit="1" customWidth="1"/>
    <col min="8" max="9" width="15.5" bestFit="1" customWidth="1"/>
    <col min="10" max="10" width="37" style="5" bestFit="1" customWidth="1"/>
    <col min="11" max="11" width="17.19921875" style="5" bestFit="1" customWidth="1"/>
    <col min="12" max="13" width="13.69921875" bestFit="1" customWidth="1"/>
    <col min="14" max="16" width="15.5" bestFit="1" customWidth="1"/>
    <col min="17" max="17" width="52.09765625" style="5" customWidth="1"/>
    <col min="18" max="18" width="45.5" style="5" customWidth="1"/>
    <col min="19" max="16384" width="8.796875" style="5"/>
  </cols>
  <sheetData>
    <row r="1" spans="1:18" ht="34.049999999999997" customHeight="1" x14ac:dyDescent="0.4">
      <c r="A1" s="25" t="s">
        <v>13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x14ac:dyDescent="0.4">
      <c r="A2" s="26" t="s">
        <v>14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x14ac:dyDescent="0.4">
      <c r="A3" s="27" t="s">
        <v>15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5" spans="1:18" ht="43.95" customHeight="1" x14ac:dyDescent="0.4">
      <c r="A5" s="6" t="s">
        <v>186</v>
      </c>
      <c r="B5" s="6" t="s">
        <v>187</v>
      </c>
      <c r="C5" s="6" t="s">
        <v>188</v>
      </c>
      <c r="D5" s="6" t="s">
        <v>189</v>
      </c>
      <c r="E5" s="6" t="s">
        <v>44</v>
      </c>
      <c r="F5" s="6" t="s">
        <v>126</v>
      </c>
      <c r="G5" s="6" t="s">
        <v>190</v>
      </c>
      <c r="H5" s="6" t="s">
        <v>191</v>
      </c>
      <c r="I5" s="6" t="s">
        <v>45</v>
      </c>
      <c r="J5" s="6" t="s">
        <v>192</v>
      </c>
      <c r="K5" s="6" t="s">
        <v>193</v>
      </c>
      <c r="L5" s="6" t="s">
        <v>24</v>
      </c>
      <c r="M5" s="6" t="s">
        <v>194</v>
      </c>
      <c r="N5" s="6" t="s">
        <v>195</v>
      </c>
      <c r="O5" s="6" t="s">
        <v>196</v>
      </c>
      <c r="P5" s="6" t="s">
        <v>197</v>
      </c>
      <c r="Q5" s="6" t="s">
        <v>198</v>
      </c>
      <c r="R5"/>
    </row>
    <row r="6" spans="1:18" ht="42" customHeight="1" x14ac:dyDescent="0.4">
      <c r="A6" s="8">
        <v>5</v>
      </c>
      <c r="B6" s="8" t="s">
        <v>137</v>
      </c>
      <c r="C6" s="8" t="s">
        <v>199</v>
      </c>
      <c r="D6" s="7" t="s">
        <v>200</v>
      </c>
      <c r="E6" s="8" t="s">
        <v>51</v>
      </c>
      <c r="F6" s="8" t="s">
        <v>32</v>
      </c>
      <c r="G6" s="8" t="s">
        <v>32</v>
      </c>
      <c r="H6" s="8" t="s">
        <v>32</v>
      </c>
      <c r="I6" s="8" t="s">
        <v>164</v>
      </c>
      <c r="J6" s="7" t="s">
        <v>201</v>
      </c>
      <c r="K6" s="8" t="s">
        <v>202</v>
      </c>
      <c r="L6" s="8" t="s">
        <v>32</v>
      </c>
      <c r="M6" s="8" t="s">
        <v>32</v>
      </c>
      <c r="N6" s="9"/>
      <c r="O6" s="9"/>
      <c r="P6" s="9">
        <v>46168</v>
      </c>
      <c r="Q6" s="7" t="s">
        <v>203</v>
      </c>
      <c r="R6"/>
    </row>
    <row r="7" spans="1:18" ht="42" customHeight="1" x14ac:dyDescent="0.4">
      <c r="A7" s="8">
        <v>27</v>
      </c>
      <c r="B7" s="8" t="s">
        <v>204</v>
      </c>
      <c r="C7" s="8" t="s">
        <v>162</v>
      </c>
      <c r="D7" s="7" t="s">
        <v>69</v>
      </c>
      <c r="E7" s="8" t="s">
        <v>51</v>
      </c>
      <c r="F7" s="8" t="s">
        <v>32</v>
      </c>
      <c r="G7" s="8" t="s">
        <v>32</v>
      </c>
      <c r="H7" s="8" t="s">
        <v>32</v>
      </c>
      <c r="I7" s="8" t="s">
        <v>164</v>
      </c>
      <c r="J7" s="7" t="s">
        <v>205</v>
      </c>
      <c r="K7" s="8" t="s">
        <v>206</v>
      </c>
      <c r="L7" s="8" t="s">
        <v>31</v>
      </c>
      <c r="M7" s="8" t="s">
        <v>32</v>
      </c>
      <c r="N7" s="9"/>
      <c r="O7" s="9"/>
      <c r="P7" s="9">
        <v>46225</v>
      </c>
      <c r="Q7" s="7" t="s">
        <v>207</v>
      </c>
      <c r="R7"/>
    </row>
    <row r="8" spans="1:18" ht="42" customHeight="1" x14ac:dyDescent="0.4">
      <c r="A8" s="8">
        <v>29</v>
      </c>
      <c r="B8" s="8" t="s">
        <v>204</v>
      </c>
      <c r="C8" s="8" t="s">
        <v>162</v>
      </c>
      <c r="D8" s="7" t="s">
        <v>79</v>
      </c>
      <c r="E8" s="8" t="s">
        <v>51</v>
      </c>
      <c r="F8" s="8" t="s">
        <v>32</v>
      </c>
      <c r="G8" s="8" t="s">
        <v>32</v>
      </c>
      <c r="H8" s="8" t="s">
        <v>32</v>
      </c>
      <c r="I8" s="8" t="s">
        <v>164</v>
      </c>
      <c r="J8" s="7" t="s">
        <v>208</v>
      </c>
      <c r="K8" s="8" t="s">
        <v>209</v>
      </c>
      <c r="L8" s="8" t="s">
        <v>31</v>
      </c>
      <c r="M8" s="8" t="s">
        <v>32</v>
      </c>
      <c r="N8" s="9"/>
      <c r="O8" s="9"/>
      <c r="P8" s="9">
        <v>46225</v>
      </c>
      <c r="Q8" s="7" t="s">
        <v>210</v>
      </c>
      <c r="R8"/>
    </row>
    <row r="9" spans="1:18" ht="42" customHeight="1" x14ac:dyDescent="0.4">
      <c r="A9" s="8">
        <v>30</v>
      </c>
      <c r="B9" s="8" t="s">
        <v>204</v>
      </c>
      <c r="C9" s="8" t="s">
        <v>162</v>
      </c>
      <c r="D9" s="7" t="s">
        <v>82</v>
      </c>
      <c r="E9" s="8" t="s">
        <v>51</v>
      </c>
      <c r="F9" s="8" t="s">
        <v>32</v>
      </c>
      <c r="G9" s="8" t="s">
        <v>32</v>
      </c>
      <c r="H9" s="8" t="s">
        <v>32</v>
      </c>
      <c r="I9" s="8" t="s">
        <v>164</v>
      </c>
      <c r="J9" s="7" t="s">
        <v>211</v>
      </c>
      <c r="K9" s="8" t="s">
        <v>209</v>
      </c>
      <c r="L9" s="8" t="s">
        <v>31</v>
      </c>
      <c r="M9" s="8" t="s">
        <v>32</v>
      </c>
      <c r="N9" s="9"/>
      <c r="O9" s="9"/>
      <c r="P9" s="9">
        <v>46225</v>
      </c>
      <c r="Q9" s="7" t="s">
        <v>210</v>
      </c>
      <c r="R9"/>
    </row>
    <row r="10" spans="1:18" ht="42" customHeight="1" x14ac:dyDescent="0.4">
      <c r="A10" s="8">
        <v>34</v>
      </c>
      <c r="B10" s="8" t="s">
        <v>204</v>
      </c>
      <c r="C10" s="8" t="s">
        <v>168</v>
      </c>
      <c r="D10" s="7" t="s">
        <v>212</v>
      </c>
      <c r="E10" s="8" t="s">
        <v>51</v>
      </c>
      <c r="F10" s="8" t="s">
        <v>32</v>
      </c>
      <c r="G10" s="8" t="s">
        <v>32</v>
      </c>
      <c r="H10" s="8" t="s">
        <v>32</v>
      </c>
      <c r="I10" s="8" t="s">
        <v>164</v>
      </c>
      <c r="J10" s="7" t="s">
        <v>213</v>
      </c>
      <c r="K10" s="8" t="s">
        <v>214</v>
      </c>
      <c r="L10" s="8" t="s">
        <v>31</v>
      </c>
      <c r="M10" s="8" t="s">
        <v>32</v>
      </c>
      <c r="N10" s="9">
        <v>46213</v>
      </c>
      <c r="O10" s="9"/>
      <c r="P10" s="9">
        <v>46225</v>
      </c>
      <c r="Q10" s="7" t="s">
        <v>215</v>
      </c>
      <c r="R10"/>
    </row>
    <row r="11" spans="1:18" ht="42" customHeight="1" x14ac:dyDescent="0.4">
      <c r="A11" s="8">
        <v>35</v>
      </c>
      <c r="B11" s="8" t="s">
        <v>204</v>
      </c>
      <c r="C11" s="8" t="s">
        <v>168</v>
      </c>
      <c r="D11" s="7" t="s">
        <v>216</v>
      </c>
      <c r="E11" s="8" t="s">
        <v>51</v>
      </c>
      <c r="F11" s="8" t="s">
        <v>32</v>
      </c>
      <c r="G11" s="8" t="s">
        <v>32</v>
      </c>
      <c r="H11" s="8" t="s">
        <v>32</v>
      </c>
      <c r="I11" s="8" t="s">
        <v>164</v>
      </c>
      <c r="J11" s="7" t="s">
        <v>217</v>
      </c>
      <c r="K11" s="8" t="s">
        <v>209</v>
      </c>
      <c r="L11" s="8" t="s">
        <v>31</v>
      </c>
      <c r="M11" s="8" t="s">
        <v>32</v>
      </c>
      <c r="N11" s="9"/>
      <c r="O11" s="9"/>
      <c r="P11" s="9">
        <v>46225</v>
      </c>
      <c r="Q11" s="7" t="s">
        <v>218</v>
      </c>
      <c r="R11"/>
    </row>
    <row r="12" spans="1:18" ht="42" customHeight="1" x14ac:dyDescent="0.4">
      <c r="A12" s="8">
        <v>7</v>
      </c>
      <c r="B12" s="8" t="s">
        <v>148</v>
      </c>
      <c r="C12" s="8" t="s">
        <v>219</v>
      </c>
      <c r="D12" s="7" t="s">
        <v>220</v>
      </c>
      <c r="E12" s="8" t="s">
        <v>97</v>
      </c>
      <c r="F12" s="8" t="s">
        <v>32</v>
      </c>
      <c r="G12" s="8" t="s">
        <v>31</v>
      </c>
      <c r="H12" s="8" t="s">
        <v>31</v>
      </c>
      <c r="I12" s="8" t="s">
        <v>2</v>
      </c>
      <c r="J12" s="7" t="s">
        <v>221</v>
      </c>
      <c r="K12" s="8" t="s">
        <v>54</v>
      </c>
      <c r="L12" s="8" t="s">
        <v>32</v>
      </c>
      <c r="M12" s="8" t="s">
        <v>31</v>
      </c>
      <c r="N12" s="9">
        <v>46224</v>
      </c>
      <c r="O12" s="9">
        <v>46224</v>
      </c>
      <c r="P12" s="9">
        <v>46224</v>
      </c>
      <c r="Q12" s="7" t="s">
        <v>222</v>
      </c>
      <c r="R12"/>
    </row>
    <row r="13" spans="1:18" ht="42" customHeight="1" x14ac:dyDescent="0.4">
      <c r="A13" s="8">
        <v>8</v>
      </c>
      <c r="B13" s="8" t="s">
        <v>148</v>
      </c>
      <c r="C13" s="8" t="s">
        <v>219</v>
      </c>
      <c r="D13" s="7" t="s">
        <v>223</v>
      </c>
      <c r="E13" s="8" t="s">
        <v>32</v>
      </c>
      <c r="F13" s="8" t="s">
        <v>51</v>
      </c>
      <c r="G13" s="8" t="s">
        <v>31</v>
      </c>
      <c r="H13" s="8" t="s">
        <v>31</v>
      </c>
      <c r="I13" s="8" t="s">
        <v>2</v>
      </c>
      <c r="J13" s="7" t="s">
        <v>224</v>
      </c>
      <c r="K13" s="8" t="s">
        <v>54</v>
      </c>
      <c r="L13" s="8" t="s">
        <v>32</v>
      </c>
      <c r="M13" s="8" t="s">
        <v>31</v>
      </c>
      <c r="N13" s="9">
        <v>46225</v>
      </c>
      <c r="O13" s="9">
        <v>46225</v>
      </c>
      <c r="P13" s="9">
        <v>46225</v>
      </c>
      <c r="Q13" s="7" t="s">
        <v>225</v>
      </c>
      <c r="R13"/>
    </row>
    <row r="14" spans="1:18" ht="42" customHeight="1" x14ac:dyDescent="0.4">
      <c r="A14" s="8">
        <v>37</v>
      </c>
      <c r="B14" s="8" t="s">
        <v>204</v>
      </c>
      <c r="C14" s="8" t="s">
        <v>168</v>
      </c>
      <c r="D14" s="7" t="s">
        <v>226</v>
      </c>
      <c r="E14" s="8" t="s">
        <v>51</v>
      </c>
      <c r="F14" s="8" t="s">
        <v>32</v>
      </c>
      <c r="G14" s="8" t="s">
        <v>32</v>
      </c>
      <c r="H14" s="8" t="s">
        <v>32</v>
      </c>
      <c r="I14" s="8" t="s">
        <v>164</v>
      </c>
      <c r="J14" s="7" t="s">
        <v>227</v>
      </c>
      <c r="K14" s="8" t="s">
        <v>202</v>
      </c>
      <c r="L14" s="8" t="s">
        <v>31</v>
      </c>
      <c r="M14" s="8" t="s">
        <v>31</v>
      </c>
      <c r="N14" s="9">
        <v>46213</v>
      </c>
      <c r="O14" s="9"/>
      <c r="P14" s="9">
        <v>46225</v>
      </c>
      <c r="Q14" s="7" t="s">
        <v>228</v>
      </c>
      <c r="R14"/>
    </row>
    <row r="15" spans="1:18" ht="42" customHeight="1" x14ac:dyDescent="0.4">
      <c r="A15" s="8">
        <v>39</v>
      </c>
      <c r="B15" s="8" t="s">
        <v>204</v>
      </c>
      <c r="C15" s="8" t="s">
        <v>168</v>
      </c>
      <c r="D15" s="7" t="s">
        <v>229</v>
      </c>
      <c r="E15" s="8" t="s">
        <v>51</v>
      </c>
      <c r="F15" s="8" t="s">
        <v>32</v>
      </c>
      <c r="G15" s="8" t="s">
        <v>32</v>
      </c>
      <c r="H15" s="8" t="s">
        <v>32</v>
      </c>
      <c r="I15" s="8" t="s">
        <v>164</v>
      </c>
      <c r="J15" s="7" t="s">
        <v>230</v>
      </c>
      <c r="K15" s="8" t="s">
        <v>202</v>
      </c>
      <c r="L15" s="8" t="s">
        <v>31</v>
      </c>
      <c r="M15" s="8" t="s">
        <v>32</v>
      </c>
      <c r="N15" s="9">
        <v>46213</v>
      </c>
      <c r="O15" s="9"/>
      <c r="P15" s="9">
        <v>46225</v>
      </c>
      <c r="Q15" s="7" t="s">
        <v>231</v>
      </c>
      <c r="R15"/>
    </row>
    <row r="16" spans="1:18" ht="42" customHeight="1" x14ac:dyDescent="0.4">
      <c r="A16" s="8">
        <v>43</v>
      </c>
      <c r="B16" s="8" t="s">
        <v>232</v>
      </c>
      <c r="C16" s="8" t="s">
        <v>168</v>
      </c>
      <c r="D16" s="7" t="s">
        <v>119</v>
      </c>
      <c r="E16" s="8" t="s">
        <v>51</v>
      </c>
      <c r="F16" s="8" t="s">
        <v>32</v>
      </c>
      <c r="G16" s="8" t="s">
        <v>32</v>
      </c>
      <c r="H16" s="8" t="s">
        <v>32</v>
      </c>
      <c r="I16" s="8" t="s">
        <v>164</v>
      </c>
      <c r="J16" s="7" t="s">
        <v>233</v>
      </c>
      <c r="K16" s="8" t="s">
        <v>214</v>
      </c>
      <c r="L16" s="8" t="s">
        <v>31</v>
      </c>
      <c r="M16" s="8" t="s">
        <v>31</v>
      </c>
      <c r="N16" s="9">
        <v>46224</v>
      </c>
      <c r="O16" s="9"/>
      <c r="P16" s="9">
        <v>46225</v>
      </c>
      <c r="Q16" s="7" t="s">
        <v>234</v>
      </c>
      <c r="R16"/>
    </row>
    <row r="17" spans="1:18" ht="42" customHeight="1" x14ac:dyDescent="0.4">
      <c r="A17" s="8">
        <v>14</v>
      </c>
      <c r="B17" s="8" t="s">
        <v>148</v>
      </c>
      <c r="C17" s="8" t="s">
        <v>235</v>
      </c>
      <c r="D17" s="7" t="s">
        <v>236</v>
      </c>
      <c r="E17" s="8" t="s">
        <v>51</v>
      </c>
      <c r="F17" s="8" t="s">
        <v>32</v>
      </c>
      <c r="G17" s="8" t="s">
        <v>97</v>
      </c>
      <c r="H17" s="8" t="s">
        <v>32</v>
      </c>
      <c r="I17" s="8" t="s">
        <v>154</v>
      </c>
      <c r="J17" s="7" t="s">
        <v>237</v>
      </c>
      <c r="K17" s="8" t="s">
        <v>238</v>
      </c>
      <c r="L17" s="8" t="s">
        <v>31</v>
      </c>
      <c r="M17" s="8" t="s">
        <v>32</v>
      </c>
      <c r="N17" s="9">
        <v>46160</v>
      </c>
      <c r="O17" s="9"/>
      <c r="P17" s="9">
        <v>46224</v>
      </c>
      <c r="Q17" s="7" t="s">
        <v>239</v>
      </c>
      <c r="R17"/>
    </row>
    <row r="18" spans="1:18" ht="42" customHeight="1" x14ac:dyDescent="0.4">
      <c r="A18" s="8">
        <v>62</v>
      </c>
      <c r="B18" s="8" t="s">
        <v>137</v>
      </c>
      <c r="C18" s="8" t="s">
        <v>240</v>
      </c>
      <c r="D18" s="7" t="s">
        <v>241</v>
      </c>
      <c r="E18" s="8" t="s">
        <v>51</v>
      </c>
      <c r="F18" s="8" t="s">
        <v>32</v>
      </c>
      <c r="G18" s="8" t="s">
        <v>97</v>
      </c>
      <c r="H18" s="8" t="s">
        <v>32</v>
      </c>
      <c r="I18" s="8" t="s">
        <v>154</v>
      </c>
      <c r="J18" s="7" t="s">
        <v>242</v>
      </c>
      <c r="K18" s="8" t="s">
        <v>238</v>
      </c>
      <c r="L18" s="8" t="s">
        <v>31</v>
      </c>
      <c r="M18" s="8" t="s">
        <v>31</v>
      </c>
      <c r="N18" s="9">
        <v>46224</v>
      </c>
      <c r="O18" s="9"/>
      <c r="P18" s="9">
        <v>46224</v>
      </c>
      <c r="Q18" s="7" t="s">
        <v>243</v>
      </c>
      <c r="R18"/>
    </row>
    <row r="19" spans="1:18" ht="42" customHeight="1" x14ac:dyDescent="0.4">
      <c r="A19" s="8">
        <v>64</v>
      </c>
      <c r="B19" s="8" t="s">
        <v>137</v>
      </c>
      <c r="C19" s="8" t="s">
        <v>235</v>
      </c>
      <c r="D19" s="7" t="s">
        <v>244</v>
      </c>
      <c r="E19" s="8" t="s">
        <v>51</v>
      </c>
      <c r="F19" s="8" t="s">
        <v>32</v>
      </c>
      <c r="G19" s="8" t="s">
        <v>97</v>
      </c>
      <c r="H19" s="8" t="s">
        <v>32</v>
      </c>
      <c r="I19" s="8" t="s">
        <v>154</v>
      </c>
      <c r="J19" s="7" t="s">
        <v>245</v>
      </c>
      <c r="K19" s="8" t="s">
        <v>238</v>
      </c>
      <c r="L19" s="8" t="s">
        <v>31</v>
      </c>
      <c r="M19" s="8" t="s">
        <v>32</v>
      </c>
      <c r="N19" s="9">
        <v>46206</v>
      </c>
      <c r="O19" s="9"/>
      <c r="P19" s="9">
        <v>46224</v>
      </c>
      <c r="Q19" s="7" t="s">
        <v>246</v>
      </c>
      <c r="R19"/>
    </row>
    <row r="20" spans="1:18" ht="42" customHeight="1" x14ac:dyDescent="0.4">
      <c r="A20" s="8">
        <v>6</v>
      </c>
      <c r="B20" s="8" t="s">
        <v>148</v>
      </c>
      <c r="C20" s="8" t="s">
        <v>199</v>
      </c>
      <c r="D20" s="7" t="s">
        <v>247</v>
      </c>
      <c r="E20" s="8" t="s">
        <v>51</v>
      </c>
      <c r="F20" s="8" t="s">
        <v>32</v>
      </c>
      <c r="G20" s="8" t="s">
        <v>97</v>
      </c>
      <c r="H20" s="8" t="s">
        <v>32</v>
      </c>
      <c r="I20" s="8" t="s">
        <v>64</v>
      </c>
      <c r="J20" s="7" t="s">
        <v>248</v>
      </c>
      <c r="K20" s="8" t="s">
        <v>202</v>
      </c>
      <c r="L20" s="8" t="s">
        <v>32</v>
      </c>
      <c r="M20" s="8" t="s">
        <v>31</v>
      </c>
      <c r="N20" s="9">
        <v>46155</v>
      </c>
      <c r="O20" s="9"/>
      <c r="P20" s="9">
        <v>46225</v>
      </c>
      <c r="Q20" s="7" t="s">
        <v>249</v>
      </c>
      <c r="R20"/>
    </row>
    <row r="21" spans="1:18" ht="42" customHeight="1" x14ac:dyDescent="0.4">
      <c r="A21" s="8">
        <v>21</v>
      </c>
      <c r="B21" s="8" t="s">
        <v>137</v>
      </c>
      <c r="C21" s="8" t="s">
        <v>235</v>
      </c>
      <c r="D21" s="7" t="s">
        <v>250</v>
      </c>
      <c r="E21" s="8" t="s">
        <v>51</v>
      </c>
      <c r="F21" s="8" t="s">
        <v>32</v>
      </c>
      <c r="G21" s="8" t="s">
        <v>97</v>
      </c>
      <c r="H21" s="8" t="s">
        <v>32</v>
      </c>
      <c r="I21" s="8" t="s">
        <v>164</v>
      </c>
      <c r="J21" s="7" t="s">
        <v>251</v>
      </c>
      <c r="K21" s="8" t="s">
        <v>202</v>
      </c>
      <c r="L21" s="8" t="s">
        <v>31</v>
      </c>
      <c r="M21" s="8" t="s">
        <v>31</v>
      </c>
      <c r="N21" s="9">
        <v>46135</v>
      </c>
      <c r="O21" s="9"/>
      <c r="P21" s="9">
        <v>46225</v>
      </c>
      <c r="Q21" s="7" t="s">
        <v>252</v>
      </c>
      <c r="R21"/>
    </row>
    <row r="22" spans="1:18" ht="42" customHeight="1" x14ac:dyDescent="0.4">
      <c r="A22" s="8">
        <v>26</v>
      </c>
      <c r="B22" s="8" t="s">
        <v>204</v>
      </c>
      <c r="C22" s="8" t="s">
        <v>162</v>
      </c>
      <c r="D22" s="7" t="s">
        <v>63</v>
      </c>
      <c r="E22" s="8" t="s">
        <v>51</v>
      </c>
      <c r="F22" s="8" t="s">
        <v>32</v>
      </c>
      <c r="G22" s="8" t="s">
        <v>97</v>
      </c>
      <c r="H22" s="8" t="s">
        <v>253</v>
      </c>
      <c r="I22" s="8" t="s">
        <v>64</v>
      </c>
      <c r="J22" s="7" t="s">
        <v>254</v>
      </c>
      <c r="K22" s="8" t="s">
        <v>255</v>
      </c>
      <c r="L22" s="8" t="s">
        <v>31</v>
      </c>
      <c r="M22" s="8" t="s">
        <v>32</v>
      </c>
      <c r="N22" s="9">
        <v>46155</v>
      </c>
      <c r="O22" s="9"/>
      <c r="P22" s="9">
        <v>46155</v>
      </c>
      <c r="Q22" s="7" t="s">
        <v>256</v>
      </c>
      <c r="R22"/>
    </row>
    <row r="23" spans="1:18" ht="42" customHeight="1" x14ac:dyDescent="0.4">
      <c r="A23" s="8">
        <v>40</v>
      </c>
      <c r="B23" s="8" t="s">
        <v>204</v>
      </c>
      <c r="C23" s="8" t="s">
        <v>168</v>
      </c>
      <c r="D23" s="7" t="s">
        <v>257</v>
      </c>
      <c r="E23" s="8" t="s">
        <v>51</v>
      </c>
      <c r="F23" s="8" t="s">
        <v>32</v>
      </c>
      <c r="G23" s="8" t="s">
        <v>97</v>
      </c>
      <c r="H23" s="8" t="s">
        <v>32</v>
      </c>
      <c r="I23" s="8" t="s">
        <v>64</v>
      </c>
      <c r="J23" s="7" t="s">
        <v>258</v>
      </c>
      <c r="K23" s="8" t="s">
        <v>259</v>
      </c>
      <c r="L23" s="8" t="s">
        <v>31</v>
      </c>
      <c r="M23" s="8" t="s">
        <v>32</v>
      </c>
      <c r="N23" s="9">
        <v>46156</v>
      </c>
      <c r="O23" s="9"/>
      <c r="P23" s="9">
        <v>46225</v>
      </c>
      <c r="Q23" s="7" t="s">
        <v>260</v>
      </c>
      <c r="R23"/>
    </row>
    <row r="24" spans="1:18" ht="42" customHeight="1" x14ac:dyDescent="0.4">
      <c r="A24" s="8">
        <v>41</v>
      </c>
      <c r="B24" s="8" t="s">
        <v>204</v>
      </c>
      <c r="C24" s="8" t="s">
        <v>168</v>
      </c>
      <c r="D24" s="7" t="s">
        <v>261</v>
      </c>
      <c r="E24" s="8" t="s">
        <v>51</v>
      </c>
      <c r="F24" s="8" t="s">
        <v>32</v>
      </c>
      <c r="G24" s="8" t="s">
        <v>97</v>
      </c>
      <c r="H24" s="8" t="s">
        <v>32</v>
      </c>
      <c r="I24" s="8" t="s">
        <v>64</v>
      </c>
      <c r="J24" s="7" t="s">
        <v>262</v>
      </c>
      <c r="K24" s="8" t="s">
        <v>259</v>
      </c>
      <c r="L24" s="8" t="s">
        <v>31</v>
      </c>
      <c r="M24" s="8" t="s">
        <v>32</v>
      </c>
      <c r="N24" s="9">
        <v>46156</v>
      </c>
      <c r="O24" s="9"/>
      <c r="P24" s="9">
        <v>46225</v>
      </c>
      <c r="Q24" s="7" t="s">
        <v>263</v>
      </c>
      <c r="R24"/>
    </row>
    <row r="25" spans="1:18" ht="42" customHeight="1" x14ac:dyDescent="0.4">
      <c r="A25" s="8">
        <v>20</v>
      </c>
      <c r="B25" s="8" t="s">
        <v>232</v>
      </c>
      <c r="C25" s="8" t="s">
        <v>264</v>
      </c>
      <c r="D25" s="7" t="s">
        <v>265</v>
      </c>
      <c r="E25" s="8" t="s">
        <v>32</v>
      </c>
      <c r="F25" s="8" t="s">
        <v>51</v>
      </c>
      <c r="G25" s="8" t="s">
        <v>97</v>
      </c>
      <c r="H25" s="8" t="s">
        <v>253</v>
      </c>
      <c r="I25" s="8" t="s">
        <v>64</v>
      </c>
      <c r="J25" s="7" t="s">
        <v>266</v>
      </c>
      <c r="K25" s="8" t="s">
        <v>202</v>
      </c>
      <c r="L25" s="8" t="s">
        <v>31</v>
      </c>
      <c r="M25" s="8" t="s">
        <v>32</v>
      </c>
      <c r="N25" s="9">
        <v>46154</v>
      </c>
      <c r="O25" s="9"/>
      <c r="P25" s="9">
        <v>46224</v>
      </c>
      <c r="Q25" s="7" t="s">
        <v>267</v>
      </c>
      <c r="R25"/>
    </row>
    <row r="26" spans="1:18" ht="42" customHeight="1" x14ac:dyDescent="0.4">
      <c r="A26" s="8">
        <v>42</v>
      </c>
      <c r="B26" s="8" t="s">
        <v>232</v>
      </c>
      <c r="C26" s="8" t="s">
        <v>168</v>
      </c>
      <c r="D26" s="7" t="s">
        <v>268</v>
      </c>
      <c r="E26" s="8" t="s">
        <v>51</v>
      </c>
      <c r="F26" s="8" t="s">
        <v>32</v>
      </c>
      <c r="G26" s="8" t="s">
        <v>97</v>
      </c>
      <c r="H26" s="8" t="s">
        <v>253</v>
      </c>
      <c r="I26" s="8" t="s">
        <v>64</v>
      </c>
      <c r="J26" s="7" t="s">
        <v>269</v>
      </c>
      <c r="K26" s="8" t="s">
        <v>270</v>
      </c>
      <c r="L26" s="8" t="s">
        <v>31</v>
      </c>
      <c r="M26" s="8" t="s">
        <v>31</v>
      </c>
      <c r="N26" s="9">
        <v>46224</v>
      </c>
      <c r="O26" s="9">
        <v>46225</v>
      </c>
      <c r="P26" s="9">
        <v>46225</v>
      </c>
      <c r="Q26" s="7" t="s">
        <v>271</v>
      </c>
      <c r="R26"/>
    </row>
    <row r="27" spans="1:18" ht="42" customHeight="1" x14ac:dyDescent="0.4">
      <c r="A27" s="8">
        <v>52</v>
      </c>
      <c r="B27" s="8" t="s">
        <v>232</v>
      </c>
      <c r="C27" s="8" t="s">
        <v>272</v>
      </c>
      <c r="D27" s="7" t="s">
        <v>273</v>
      </c>
      <c r="E27" s="8" t="s">
        <v>51</v>
      </c>
      <c r="F27" s="8" t="s">
        <v>32</v>
      </c>
      <c r="G27" s="8" t="s">
        <v>97</v>
      </c>
      <c r="H27" s="8" t="s">
        <v>253</v>
      </c>
      <c r="I27" s="8" t="s">
        <v>64</v>
      </c>
      <c r="J27" s="7" t="s">
        <v>274</v>
      </c>
      <c r="K27" s="8" t="s">
        <v>275</v>
      </c>
      <c r="L27" s="8" t="s">
        <v>31</v>
      </c>
      <c r="M27" s="8" t="s">
        <v>31</v>
      </c>
      <c r="N27" s="9">
        <v>46196</v>
      </c>
      <c r="O27" s="9"/>
      <c r="P27" s="9">
        <v>46224</v>
      </c>
      <c r="Q27" s="7" t="s">
        <v>276</v>
      </c>
      <c r="R27"/>
    </row>
    <row r="28" spans="1:18" ht="42" customHeight="1" x14ac:dyDescent="0.4">
      <c r="A28" s="8">
        <v>59</v>
      </c>
      <c r="B28" s="8" t="s">
        <v>137</v>
      </c>
      <c r="C28" s="8" t="s">
        <v>277</v>
      </c>
      <c r="D28" s="7" t="s">
        <v>278</v>
      </c>
      <c r="E28" s="8" t="s">
        <v>51</v>
      </c>
      <c r="F28" s="8" t="s">
        <v>32</v>
      </c>
      <c r="G28" s="8" t="s">
        <v>97</v>
      </c>
      <c r="H28" s="8" t="s">
        <v>253</v>
      </c>
      <c r="I28" s="8" t="s">
        <v>64</v>
      </c>
      <c r="J28" s="7" t="s">
        <v>279</v>
      </c>
      <c r="K28" s="8" t="s">
        <v>270</v>
      </c>
      <c r="L28" s="8" t="s">
        <v>31</v>
      </c>
      <c r="M28" s="8" t="s">
        <v>32</v>
      </c>
      <c r="N28" s="9">
        <v>46195</v>
      </c>
      <c r="O28" s="9"/>
      <c r="P28" s="9">
        <v>46225</v>
      </c>
      <c r="Q28" s="7" t="s">
        <v>280</v>
      </c>
      <c r="R28"/>
    </row>
    <row r="29" spans="1:18" ht="42" customHeight="1" x14ac:dyDescent="0.4">
      <c r="A29" s="8">
        <v>67</v>
      </c>
      <c r="B29" s="8" t="s">
        <v>148</v>
      </c>
      <c r="C29" s="8" t="s">
        <v>281</v>
      </c>
      <c r="D29" s="7" t="s">
        <v>282</v>
      </c>
      <c r="E29" s="8" t="s">
        <v>51</v>
      </c>
      <c r="F29" s="8" t="s">
        <v>32</v>
      </c>
      <c r="G29" s="8" t="s">
        <v>97</v>
      </c>
      <c r="H29" s="8" t="s">
        <v>32</v>
      </c>
      <c r="I29" s="8" t="s">
        <v>64</v>
      </c>
      <c r="J29" s="7" t="s">
        <v>283</v>
      </c>
      <c r="K29" s="8" t="s">
        <v>284</v>
      </c>
      <c r="L29" s="8" t="s">
        <v>31</v>
      </c>
      <c r="M29" s="8" t="s">
        <v>31</v>
      </c>
      <c r="N29" s="9">
        <v>46155</v>
      </c>
      <c r="O29" s="9"/>
      <c r="P29" s="9">
        <v>46225</v>
      </c>
      <c r="Q29" s="7" t="s">
        <v>285</v>
      </c>
      <c r="R29"/>
    </row>
    <row r="30" spans="1:18" ht="42" customHeight="1" x14ac:dyDescent="0.4">
      <c r="A30" s="8">
        <v>9</v>
      </c>
      <c r="B30" s="8" t="s">
        <v>232</v>
      </c>
      <c r="C30" s="8" t="s">
        <v>235</v>
      </c>
      <c r="D30" s="7" t="s">
        <v>286</v>
      </c>
      <c r="E30" s="8" t="s">
        <v>51</v>
      </c>
      <c r="F30" s="8" t="s">
        <v>32</v>
      </c>
      <c r="G30" s="8" t="s">
        <v>31</v>
      </c>
      <c r="H30" s="8" t="s">
        <v>31</v>
      </c>
      <c r="I30" s="8" t="s">
        <v>2</v>
      </c>
      <c r="J30" s="7" t="s">
        <v>287</v>
      </c>
      <c r="K30" s="8" t="s">
        <v>54</v>
      </c>
      <c r="L30" s="8" t="s">
        <v>32</v>
      </c>
      <c r="M30" s="8" t="s">
        <v>32</v>
      </c>
      <c r="N30" s="9">
        <v>46156</v>
      </c>
      <c r="O30" s="9">
        <v>46225</v>
      </c>
      <c r="P30" s="9">
        <v>46225</v>
      </c>
      <c r="Q30" s="7" t="s">
        <v>288</v>
      </c>
      <c r="R30"/>
    </row>
    <row r="31" spans="1:18" ht="42" customHeight="1" x14ac:dyDescent="0.4">
      <c r="A31" s="8">
        <v>38</v>
      </c>
      <c r="B31" s="8" t="s">
        <v>204</v>
      </c>
      <c r="C31" s="8" t="s">
        <v>168</v>
      </c>
      <c r="D31" s="7" t="s">
        <v>289</v>
      </c>
      <c r="E31" s="8" t="s">
        <v>51</v>
      </c>
      <c r="F31" s="8" t="s">
        <v>32</v>
      </c>
      <c r="G31" s="8" t="s">
        <v>32</v>
      </c>
      <c r="H31" s="8" t="s">
        <v>32</v>
      </c>
      <c r="I31" s="8" t="s">
        <v>98</v>
      </c>
      <c r="J31" s="7" t="s">
        <v>290</v>
      </c>
      <c r="K31" s="8" t="s">
        <v>291</v>
      </c>
      <c r="L31" s="8" t="s">
        <v>31</v>
      </c>
      <c r="M31" s="8" t="s">
        <v>31</v>
      </c>
      <c r="N31" s="9"/>
      <c r="O31" s="9"/>
      <c r="P31" s="9">
        <v>46224</v>
      </c>
      <c r="Q31" s="7" t="s">
        <v>292</v>
      </c>
      <c r="R31"/>
    </row>
    <row r="32" spans="1:18" ht="42" customHeight="1" x14ac:dyDescent="0.4">
      <c r="A32" s="8">
        <v>54</v>
      </c>
      <c r="B32" s="8" t="s">
        <v>137</v>
      </c>
      <c r="C32" s="8" t="s">
        <v>293</v>
      </c>
      <c r="D32" s="7" t="s">
        <v>294</v>
      </c>
      <c r="E32" s="8" t="s">
        <v>51</v>
      </c>
      <c r="F32" s="8" t="s">
        <v>32</v>
      </c>
      <c r="G32" s="8" t="s">
        <v>32</v>
      </c>
      <c r="H32" s="8" t="s">
        <v>32</v>
      </c>
      <c r="I32" s="8" t="s">
        <v>98</v>
      </c>
      <c r="J32" s="7" t="s">
        <v>295</v>
      </c>
      <c r="K32" s="8" t="s">
        <v>296</v>
      </c>
      <c r="L32" s="8" t="s">
        <v>31</v>
      </c>
      <c r="M32" s="8" t="s">
        <v>32</v>
      </c>
      <c r="N32" s="9"/>
      <c r="O32" s="9"/>
      <c r="P32" s="9">
        <v>46224</v>
      </c>
      <c r="Q32" s="7" t="s">
        <v>297</v>
      </c>
      <c r="R32"/>
    </row>
    <row r="33" spans="1:18" ht="42" customHeight="1" x14ac:dyDescent="0.4">
      <c r="A33" s="8">
        <v>55</v>
      </c>
      <c r="B33" s="8" t="s">
        <v>137</v>
      </c>
      <c r="C33" s="8" t="s">
        <v>293</v>
      </c>
      <c r="D33" s="7" t="s">
        <v>298</v>
      </c>
      <c r="E33" s="8" t="s">
        <v>51</v>
      </c>
      <c r="F33" s="8" t="s">
        <v>32</v>
      </c>
      <c r="G33" s="8" t="s">
        <v>32</v>
      </c>
      <c r="H33" s="8" t="s">
        <v>32</v>
      </c>
      <c r="I33" s="8" t="s">
        <v>98</v>
      </c>
      <c r="J33" s="7" t="s">
        <v>299</v>
      </c>
      <c r="K33" s="8" t="s">
        <v>296</v>
      </c>
      <c r="L33" s="8" t="s">
        <v>31</v>
      </c>
      <c r="M33" s="8" t="s">
        <v>32</v>
      </c>
      <c r="N33" s="9"/>
      <c r="O33" s="9"/>
      <c r="P33" s="9">
        <v>46224</v>
      </c>
      <c r="Q33" s="7" t="s">
        <v>300</v>
      </c>
      <c r="R33"/>
    </row>
    <row r="34" spans="1:18" ht="42" customHeight="1" x14ac:dyDescent="0.4">
      <c r="A34" s="8">
        <v>1</v>
      </c>
      <c r="B34" s="8" t="s">
        <v>148</v>
      </c>
      <c r="C34" s="8" t="s">
        <v>199</v>
      </c>
      <c r="D34" s="7" t="s">
        <v>301</v>
      </c>
      <c r="E34" s="8" t="s">
        <v>51</v>
      </c>
      <c r="F34" s="8" t="s">
        <v>32</v>
      </c>
      <c r="G34" s="8" t="s">
        <v>31</v>
      </c>
      <c r="H34" s="8" t="s">
        <v>253</v>
      </c>
      <c r="I34" s="8" t="s">
        <v>3</v>
      </c>
      <c r="J34" s="7" t="s">
        <v>302</v>
      </c>
      <c r="K34" s="8" t="s">
        <v>54</v>
      </c>
      <c r="L34" s="8" t="s">
        <v>32</v>
      </c>
      <c r="M34" s="8" t="s">
        <v>32</v>
      </c>
      <c r="N34" s="9">
        <v>46155</v>
      </c>
      <c r="O34" s="9"/>
      <c r="P34" s="9">
        <v>46225</v>
      </c>
      <c r="Q34" s="7" t="s">
        <v>303</v>
      </c>
      <c r="R34"/>
    </row>
    <row r="35" spans="1:18" ht="42" customHeight="1" x14ac:dyDescent="0.4">
      <c r="A35" s="8">
        <v>2</v>
      </c>
      <c r="B35" s="8" t="s">
        <v>148</v>
      </c>
      <c r="C35" s="8" t="s">
        <v>199</v>
      </c>
      <c r="D35" s="7" t="s">
        <v>304</v>
      </c>
      <c r="E35" s="8" t="s">
        <v>51</v>
      </c>
      <c r="F35" s="8" t="s">
        <v>32</v>
      </c>
      <c r="G35" s="8" t="s">
        <v>31</v>
      </c>
      <c r="H35" s="8" t="s">
        <v>253</v>
      </c>
      <c r="I35" s="8" t="s">
        <v>3</v>
      </c>
      <c r="J35" s="7" t="s">
        <v>305</v>
      </c>
      <c r="K35" s="8" t="s">
        <v>54</v>
      </c>
      <c r="L35" s="8" t="s">
        <v>32</v>
      </c>
      <c r="M35" s="8" t="s">
        <v>31</v>
      </c>
      <c r="N35" s="9">
        <v>46155</v>
      </c>
      <c r="O35" s="9"/>
      <c r="P35" s="9">
        <v>46224</v>
      </c>
      <c r="Q35" s="7" t="s">
        <v>306</v>
      </c>
      <c r="R35"/>
    </row>
    <row r="36" spans="1:18" ht="42" customHeight="1" x14ac:dyDescent="0.4">
      <c r="A36" s="8">
        <v>3</v>
      </c>
      <c r="B36" s="8" t="s">
        <v>148</v>
      </c>
      <c r="C36" s="8" t="s">
        <v>199</v>
      </c>
      <c r="D36" s="7" t="s">
        <v>307</v>
      </c>
      <c r="E36" s="8" t="s">
        <v>51</v>
      </c>
      <c r="F36" s="8" t="s">
        <v>32</v>
      </c>
      <c r="G36" s="8" t="s">
        <v>31</v>
      </c>
      <c r="H36" s="8" t="s">
        <v>253</v>
      </c>
      <c r="I36" s="8" t="s">
        <v>3</v>
      </c>
      <c r="J36" s="7" t="s">
        <v>308</v>
      </c>
      <c r="K36" s="8" t="s">
        <v>54</v>
      </c>
      <c r="L36" s="8" t="s">
        <v>32</v>
      </c>
      <c r="M36" s="8" t="s">
        <v>31</v>
      </c>
      <c r="N36" s="9">
        <v>46155</v>
      </c>
      <c r="O36" s="9"/>
      <c r="P36" s="9">
        <v>46224</v>
      </c>
      <c r="Q36" s="7" t="s">
        <v>309</v>
      </c>
      <c r="R36"/>
    </row>
    <row r="37" spans="1:18" ht="42" customHeight="1" x14ac:dyDescent="0.4">
      <c r="A37" s="8">
        <v>32</v>
      </c>
      <c r="B37" s="8" t="s">
        <v>148</v>
      </c>
      <c r="C37" s="8" t="s">
        <v>310</v>
      </c>
      <c r="D37" s="7" t="s">
        <v>311</v>
      </c>
      <c r="E37" s="8" t="s">
        <v>32</v>
      </c>
      <c r="F37" s="8" t="s">
        <v>51</v>
      </c>
      <c r="G37" s="8" t="s">
        <v>31</v>
      </c>
      <c r="H37" s="8" t="s">
        <v>31</v>
      </c>
      <c r="I37" s="8" t="s">
        <v>2</v>
      </c>
      <c r="J37" s="7" t="s">
        <v>312</v>
      </c>
      <c r="K37" s="8" t="s">
        <v>54</v>
      </c>
      <c r="L37" s="8" t="s">
        <v>32</v>
      </c>
      <c r="M37" s="8" t="s">
        <v>31</v>
      </c>
      <c r="N37" s="9">
        <v>46224</v>
      </c>
      <c r="O37" s="9">
        <v>46224</v>
      </c>
      <c r="P37" s="9">
        <v>46225</v>
      </c>
      <c r="Q37" s="7" t="s">
        <v>313</v>
      </c>
      <c r="R37"/>
    </row>
    <row r="38" spans="1:18" ht="42" customHeight="1" x14ac:dyDescent="0.4">
      <c r="A38" s="8">
        <v>33</v>
      </c>
      <c r="B38" s="8" t="s">
        <v>148</v>
      </c>
      <c r="C38" s="8" t="s">
        <v>310</v>
      </c>
      <c r="D38" s="7" t="s">
        <v>314</v>
      </c>
      <c r="E38" s="8" t="s">
        <v>32</v>
      </c>
      <c r="F38" s="8" t="s">
        <v>51</v>
      </c>
      <c r="G38" s="8" t="s">
        <v>97</v>
      </c>
      <c r="H38" s="8" t="s">
        <v>253</v>
      </c>
      <c r="I38" s="8" t="s">
        <v>64</v>
      </c>
      <c r="J38" s="7" t="s">
        <v>315</v>
      </c>
      <c r="K38" s="8" t="s">
        <v>316</v>
      </c>
      <c r="L38" s="8" t="s">
        <v>31</v>
      </c>
      <c r="M38" s="8" t="s">
        <v>32</v>
      </c>
      <c r="N38" s="9">
        <v>46152</v>
      </c>
      <c r="O38" s="9"/>
      <c r="P38" s="9">
        <v>46155</v>
      </c>
      <c r="Q38" s="7" t="s">
        <v>317</v>
      </c>
      <c r="R38"/>
    </row>
    <row r="39" spans="1:18" ht="42" customHeight="1" x14ac:dyDescent="0.4">
      <c r="A39" s="8">
        <v>15</v>
      </c>
      <c r="B39" s="8" t="s">
        <v>318</v>
      </c>
      <c r="C39" s="8" t="s">
        <v>264</v>
      </c>
      <c r="D39" s="7" t="s">
        <v>319</v>
      </c>
      <c r="E39" s="8" t="s">
        <v>51</v>
      </c>
      <c r="F39" s="8" t="s">
        <v>32</v>
      </c>
      <c r="G39" s="8" t="s">
        <v>31</v>
      </c>
      <c r="H39" s="8" t="s">
        <v>31</v>
      </c>
      <c r="I39" s="8" t="s">
        <v>2</v>
      </c>
      <c r="J39" s="7" t="s">
        <v>320</v>
      </c>
      <c r="K39" s="8" t="s">
        <v>54</v>
      </c>
      <c r="L39" s="8" t="s">
        <v>32</v>
      </c>
      <c r="M39" s="8" t="s">
        <v>31</v>
      </c>
      <c r="N39" s="9">
        <v>46224</v>
      </c>
      <c r="O39" s="9">
        <v>46225</v>
      </c>
      <c r="P39" s="9">
        <v>46225</v>
      </c>
      <c r="Q39" s="7" t="s">
        <v>321</v>
      </c>
      <c r="R39"/>
    </row>
    <row r="40" spans="1:18" ht="42" customHeight="1" x14ac:dyDescent="0.4">
      <c r="A40" s="8">
        <v>16</v>
      </c>
      <c r="B40" s="8" t="s">
        <v>322</v>
      </c>
      <c r="C40" s="8" t="s">
        <v>264</v>
      </c>
      <c r="D40" s="7" t="s">
        <v>323</v>
      </c>
      <c r="E40" s="8" t="s">
        <v>51</v>
      </c>
      <c r="F40" s="8" t="s">
        <v>32</v>
      </c>
      <c r="G40" s="8" t="s">
        <v>31</v>
      </c>
      <c r="H40" s="8" t="s">
        <v>31</v>
      </c>
      <c r="I40" s="8" t="s">
        <v>2</v>
      </c>
      <c r="J40" s="7" t="s">
        <v>324</v>
      </c>
      <c r="K40" s="8" t="s">
        <v>54</v>
      </c>
      <c r="L40" s="8" t="s">
        <v>32</v>
      </c>
      <c r="M40" s="8" t="s">
        <v>31</v>
      </c>
      <c r="N40" s="9">
        <v>46224</v>
      </c>
      <c r="O40" s="9">
        <v>46225</v>
      </c>
      <c r="P40" s="9">
        <v>46225</v>
      </c>
      <c r="Q40" s="7" t="s">
        <v>325</v>
      </c>
      <c r="R40"/>
    </row>
    <row r="41" spans="1:18" ht="42" customHeight="1" x14ac:dyDescent="0.4">
      <c r="A41" s="8">
        <v>36</v>
      </c>
      <c r="B41" s="8" t="s">
        <v>204</v>
      </c>
      <c r="C41" s="8" t="s">
        <v>168</v>
      </c>
      <c r="D41" s="7" t="s">
        <v>326</v>
      </c>
      <c r="E41" s="8" t="s">
        <v>97</v>
      </c>
      <c r="F41" s="8" t="s">
        <v>32</v>
      </c>
      <c r="G41" s="8" t="s">
        <v>32</v>
      </c>
      <c r="H41" s="8" t="s">
        <v>32</v>
      </c>
      <c r="I41" s="8" t="s">
        <v>98</v>
      </c>
      <c r="J41" s="7" t="s">
        <v>217</v>
      </c>
      <c r="K41" s="8" t="s">
        <v>209</v>
      </c>
      <c r="L41" s="8" t="s">
        <v>31</v>
      </c>
      <c r="M41" s="8" t="s">
        <v>32</v>
      </c>
      <c r="N41" s="9"/>
      <c r="O41" s="9"/>
      <c r="P41" s="9">
        <v>46225</v>
      </c>
      <c r="Q41" s="7" t="s">
        <v>327</v>
      </c>
      <c r="R41"/>
    </row>
    <row r="42" spans="1:18" ht="42" customHeight="1" x14ac:dyDescent="0.4">
      <c r="A42" s="8">
        <v>17</v>
      </c>
      <c r="B42" s="8" t="s">
        <v>143</v>
      </c>
      <c r="C42" s="8" t="s">
        <v>264</v>
      </c>
      <c r="D42" s="7" t="s">
        <v>328</v>
      </c>
      <c r="E42" s="8" t="s">
        <v>51</v>
      </c>
      <c r="F42" s="8" t="s">
        <v>32</v>
      </c>
      <c r="G42" s="8" t="s">
        <v>31</v>
      </c>
      <c r="H42" s="8" t="s">
        <v>253</v>
      </c>
      <c r="I42" s="8" t="s">
        <v>3</v>
      </c>
      <c r="J42" s="7" t="s">
        <v>329</v>
      </c>
      <c r="K42" s="8" t="s">
        <v>54</v>
      </c>
      <c r="L42" s="8" t="s">
        <v>32</v>
      </c>
      <c r="M42" s="8" t="s">
        <v>31</v>
      </c>
      <c r="N42" s="9">
        <v>46224</v>
      </c>
      <c r="O42" s="9"/>
      <c r="P42" s="9">
        <v>46224</v>
      </c>
      <c r="Q42" s="7" t="s">
        <v>330</v>
      </c>
      <c r="R42"/>
    </row>
    <row r="43" spans="1:18" ht="42" customHeight="1" x14ac:dyDescent="0.4">
      <c r="A43" s="8">
        <v>18</v>
      </c>
      <c r="B43" s="8" t="s">
        <v>331</v>
      </c>
      <c r="C43" s="8" t="s">
        <v>264</v>
      </c>
      <c r="D43" s="7" t="s">
        <v>332</v>
      </c>
      <c r="E43" s="8" t="s">
        <v>51</v>
      </c>
      <c r="F43" s="8" t="s">
        <v>32</v>
      </c>
      <c r="G43" s="8" t="s">
        <v>31</v>
      </c>
      <c r="H43" s="8" t="s">
        <v>253</v>
      </c>
      <c r="I43" s="8" t="s">
        <v>3</v>
      </c>
      <c r="J43" s="7" t="s">
        <v>333</v>
      </c>
      <c r="K43" s="8" t="s">
        <v>54</v>
      </c>
      <c r="L43" s="8" t="s">
        <v>32</v>
      </c>
      <c r="M43" s="8" t="s">
        <v>31</v>
      </c>
      <c r="N43" s="9">
        <v>46224</v>
      </c>
      <c r="O43" s="9"/>
      <c r="P43" s="9">
        <v>46224</v>
      </c>
      <c r="Q43" s="7" t="s">
        <v>334</v>
      </c>
      <c r="R43"/>
    </row>
    <row r="44" spans="1:18" ht="42" customHeight="1" x14ac:dyDescent="0.4">
      <c r="A44" s="8">
        <v>57</v>
      </c>
      <c r="B44" s="8" t="s">
        <v>143</v>
      </c>
      <c r="C44" s="8" t="s">
        <v>272</v>
      </c>
      <c r="D44" s="7" t="s">
        <v>335</v>
      </c>
      <c r="E44" s="8" t="s">
        <v>51</v>
      </c>
      <c r="F44" s="8" t="s">
        <v>32</v>
      </c>
      <c r="G44" s="8" t="s">
        <v>31</v>
      </c>
      <c r="H44" s="8" t="s">
        <v>253</v>
      </c>
      <c r="I44" s="8" t="s">
        <v>3</v>
      </c>
      <c r="J44" s="7" t="s">
        <v>336</v>
      </c>
      <c r="K44" s="8" t="s">
        <v>54</v>
      </c>
      <c r="L44" s="8" t="s">
        <v>31</v>
      </c>
      <c r="M44" s="8" t="s">
        <v>31</v>
      </c>
      <c r="N44" s="9">
        <v>46224</v>
      </c>
      <c r="O44" s="9"/>
      <c r="P44" s="9">
        <v>46224</v>
      </c>
      <c r="Q44" s="7" t="s">
        <v>337</v>
      </c>
      <c r="R44"/>
    </row>
    <row r="45" spans="1:18" ht="42" customHeight="1" x14ac:dyDescent="0.4">
      <c r="A45" s="8">
        <v>58</v>
      </c>
      <c r="B45" s="8" t="s">
        <v>137</v>
      </c>
      <c r="C45" s="8" t="s">
        <v>277</v>
      </c>
      <c r="D45" s="7" t="s">
        <v>338</v>
      </c>
      <c r="E45" s="8" t="s">
        <v>51</v>
      </c>
      <c r="F45" s="8" t="s">
        <v>32</v>
      </c>
      <c r="G45" s="8" t="s">
        <v>31</v>
      </c>
      <c r="H45" s="8" t="s">
        <v>253</v>
      </c>
      <c r="I45" s="8" t="s">
        <v>3</v>
      </c>
      <c r="J45" s="7" t="s">
        <v>339</v>
      </c>
      <c r="K45" s="8" t="s">
        <v>54</v>
      </c>
      <c r="L45" s="8" t="s">
        <v>32</v>
      </c>
      <c r="M45" s="8" t="s">
        <v>32</v>
      </c>
      <c r="N45" s="9">
        <v>46195</v>
      </c>
      <c r="O45" s="9"/>
      <c r="P45" s="9">
        <v>46225</v>
      </c>
      <c r="Q45" s="7" t="s">
        <v>340</v>
      </c>
      <c r="R45"/>
    </row>
    <row r="46" spans="1:18" ht="42" customHeight="1" x14ac:dyDescent="0.4">
      <c r="A46" s="8">
        <v>60</v>
      </c>
      <c r="B46" s="8" t="s">
        <v>137</v>
      </c>
      <c r="C46" s="8" t="s">
        <v>277</v>
      </c>
      <c r="D46" s="7" t="s">
        <v>341</v>
      </c>
      <c r="E46" s="8" t="s">
        <v>51</v>
      </c>
      <c r="F46" s="8" t="s">
        <v>32</v>
      </c>
      <c r="G46" s="8" t="s">
        <v>31</v>
      </c>
      <c r="H46" s="8" t="s">
        <v>253</v>
      </c>
      <c r="I46" s="8" t="s">
        <v>3</v>
      </c>
      <c r="J46" s="7" t="s">
        <v>342</v>
      </c>
      <c r="K46" s="8" t="s">
        <v>54</v>
      </c>
      <c r="L46" s="8" t="s">
        <v>32</v>
      </c>
      <c r="M46" s="8" t="s">
        <v>32</v>
      </c>
      <c r="N46" s="9">
        <v>46164</v>
      </c>
      <c r="O46" s="9"/>
      <c r="P46" s="9">
        <v>46225</v>
      </c>
      <c r="Q46" s="7" t="s">
        <v>343</v>
      </c>
      <c r="R46"/>
    </row>
    <row r="47" spans="1:18" ht="42" customHeight="1" x14ac:dyDescent="0.4">
      <c r="A47" s="8">
        <v>61</v>
      </c>
      <c r="B47" s="8" t="s">
        <v>137</v>
      </c>
      <c r="C47" s="8" t="s">
        <v>240</v>
      </c>
      <c r="D47" s="7" t="s">
        <v>344</v>
      </c>
      <c r="E47" s="8" t="s">
        <v>51</v>
      </c>
      <c r="F47" s="8" t="s">
        <v>32</v>
      </c>
      <c r="G47" s="8" t="s">
        <v>97</v>
      </c>
      <c r="H47" s="8" t="s">
        <v>253</v>
      </c>
      <c r="I47" s="8" t="s">
        <v>3</v>
      </c>
      <c r="J47" s="7" t="s">
        <v>345</v>
      </c>
      <c r="K47" s="8" t="s">
        <v>284</v>
      </c>
      <c r="L47" s="8" t="s">
        <v>31</v>
      </c>
      <c r="M47" s="8" t="s">
        <v>31</v>
      </c>
      <c r="N47" s="9">
        <v>46188</v>
      </c>
      <c r="O47" s="9"/>
      <c r="P47" s="9">
        <v>46225</v>
      </c>
      <c r="Q47" s="7" t="s">
        <v>346</v>
      </c>
      <c r="R47"/>
    </row>
    <row r="48" spans="1:18" ht="42" customHeight="1" x14ac:dyDescent="0.4">
      <c r="A48" s="8">
        <v>10</v>
      </c>
      <c r="B48" s="8" t="s">
        <v>232</v>
      </c>
      <c r="C48" s="8" t="s">
        <v>235</v>
      </c>
      <c r="D48" s="7" t="s">
        <v>347</v>
      </c>
      <c r="E48" s="8" t="s">
        <v>51</v>
      </c>
      <c r="F48" s="8" t="s">
        <v>32</v>
      </c>
      <c r="G48" s="8" t="s">
        <v>31</v>
      </c>
      <c r="H48" s="8" t="s">
        <v>31</v>
      </c>
      <c r="I48" s="8" t="s">
        <v>2</v>
      </c>
      <c r="J48" s="7" t="s">
        <v>348</v>
      </c>
      <c r="K48" s="8" t="s">
        <v>54</v>
      </c>
      <c r="L48" s="8" t="s">
        <v>32</v>
      </c>
      <c r="M48" s="8" t="s">
        <v>32</v>
      </c>
      <c r="N48" s="9">
        <v>46156</v>
      </c>
      <c r="O48" s="9"/>
      <c r="P48" s="9">
        <v>46224</v>
      </c>
      <c r="Q48" s="7" t="s">
        <v>349</v>
      </c>
      <c r="R48"/>
    </row>
    <row r="49" spans="1:18" ht="42" customHeight="1" x14ac:dyDescent="0.4">
      <c r="A49" s="8">
        <v>44</v>
      </c>
      <c r="B49" s="8" t="s">
        <v>204</v>
      </c>
      <c r="C49" s="8" t="s">
        <v>168</v>
      </c>
      <c r="D49" s="7" t="s">
        <v>350</v>
      </c>
      <c r="E49" s="8" t="s">
        <v>97</v>
      </c>
      <c r="F49" s="8" t="s">
        <v>32</v>
      </c>
      <c r="G49" s="8" t="s">
        <v>31</v>
      </c>
      <c r="H49" s="8" t="s">
        <v>31</v>
      </c>
      <c r="I49" s="8" t="s">
        <v>2</v>
      </c>
      <c r="J49" s="7" t="s">
        <v>351</v>
      </c>
      <c r="K49" s="8" t="s">
        <v>54</v>
      </c>
      <c r="L49" s="8" t="s">
        <v>32</v>
      </c>
      <c r="M49" s="8" t="s">
        <v>32</v>
      </c>
      <c r="N49" s="9">
        <v>46155</v>
      </c>
      <c r="O49" s="9"/>
      <c r="P49" s="9">
        <v>46156</v>
      </c>
      <c r="Q49" s="7" t="s">
        <v>352</v>
      </c>
      <c r="R49"/>
    </row>
    <row r="50" spans="1:18" ht="42" customHeight="1" x14ac:dyDescent="0.4">
      <c r="A50" s="8">
        <v>45</v>
      </c>
      <c r="B50" s="8" t="s">
        <v>204</v>
      </c>
      <c r="C50" s="8" t="s">
        <v>353</v>
      </c>
      <c r="D50" s="7" t="s">
        <v>122</v>
      </c>
      <c r="E50" s="8" t="s">
        <v>32</v>
      </c>
      <c r="F50" s="8" t="s">
        <v>51</v>
      </c>
      <c r="G50" s="8" t="s">
        <v>31</v>
      </c>
      <c r="H50" s="8" t="s">
        <v>31</v>
      </c>
      <c r="I50" s="8" t="s">
        <v>2</v>
      </c>
      <c r="J50" s="7" t="s">
        <v>354</v>
      </c>
      <c r="K50" s="8" t="s">
        <v>54</v>
      </c>
      <c r="L50" s="8" t="s">
        <v>32</v>
      </c>
      <c r="M50" s="8" t="s">
        <v>31</v>
      </c>
      <c r="N50" s="9">
        <v>46224</v>
      </c>
      <c r="O50" s="9">
        <v>46224</v>
      </c>
      <c r="P50" s="9">
        <v>46224</v>
      </c>
      <c r="Q50" s="7" t="s">
        <v>355</v>
      </c>
      <c r="R50"/>
    </row>
    <row r="51" spans="1:18" ht="42" customHeight="1" x14ac:dyDescent="0.4">
      <c r="A51" s="8">
        <v>46</v>
      </c>
      <c r="B51" s="8" t="s">
        <v>232</v>
      </c>
      <c r="C51" s="8" t="s">
        <v>353</v>
      </c>
      <c r="D51" s="7" t="s">
        <v>356</v>
      </c>
      <c r="E51" s="8" t="s">
        <v>32</v>
      </c>
      <c r="F51" s="8" t="s">
        <v>51</v>
      </c>
      <c r="G51" s="8" t="s">
        <v>97</v>
      </c>
      <c r="H51" s="8" t="s">
        <v>253</v>
      </c>
      <c r="I51" s="8" t="s">
        <v>64</v>
      </c>
      <c r="J51" s="7" t="s">
        <v>357</v>
      </c>
      <c r="K51" s="8" t="s">
        <v>358</v>
      </c>
      <c r="L51" s="8" t="s">
        <v>31</v>
      </c>
      <c r="M51" s="8" t="s">
        <v>31</v>
      </c>
      <c r="N51" s="9">
        <v>46224</v>
      </c>
      <c r="O51" s="9"/>
      <c r="P51" s="9">
        <v>46225</v>
      </c>
      <c r="Q51" s="7" t="s">
        <v>359</v>
      </c>
      <c r="R51"/>
    </row>
    <row r="52" spans="1:18" ht="42" customHeight="1" x14ac:dyDescent="0.4">
      <c r="A52" s="8">
        <v>47</v>
      </c>
      <c r="B52" s="8" t="s">
        <v>204</v>
      </c>
      <c r="C52" s="8" t="s">
        <v>353</v>
      </c>
      <c r="D52" s="7" t="s">
        <v>360</v>
      </c>
      <c r="E52" s="8" t="s">
        <v>32</v>
      </c>
      <c r="F52" s="8" t="s">
        <v>51</v>
      </c>
      <c r="G52" s="8" t="s">
        <v>31</v>
      </c>
      <c r="H52" s="8" t="s">
        <v>31</v>
      </c>
      <c r="I52" s="8" t="s">
        <v>2</v>
      </c>
      <c r="J52" s="7" t="s">
        <v>361</v>
      </c>
      <c r="K52" s="8" t="s">
        <v>54</v>
      </c>
      <c r="L52" s="8" t="s">
        <v>32</v>
      </c>
      <c r="M52" s="8" t="s">
        <v>31</v>
      </c>
      <c r="N52" s="9">
        <v>46223</v>
      </c>
      <c r="O52" s="9">
        <v>46225</v>
      </c>
      <c r="P52" s="9">
        <v>46225</v>
      </c>
      <c r="Q52" s="7" t="s">
        <v>362</v>
      </c>
      <c r="R52"/>
    </row>
    <row r="53" spans="1:18" ht="42" customHeight="1" x14ac:dyDescent="0.4">
      <c r="A53" s="8">
        <v>48</v>
      </c>
      <c r="B53" s="8" t="s">
        <v>204</v>
      </c>
      <c r="C53" s="8" t="s">
        <v>353</v>
      </c>
      <c r="D53" s="7" t="s">
        <v>363</v>
      </c>
      <c r="E53" s="8" t="s">
        <v>32</v>
      </c>
      <c r="F53" s="8" t="s">
        <v>51</v>
      </c>
      <c r="G53" s="8" t="s">
        <v>31</v>
      </c>
      <c r="H53" s="8" t="s">
        <v>31</v>
      </c>
      <c r="I53" s="8" t="s">
        <v>2</v>
      </c>
      <c r="J53" s="7" t="s">
        <v>364</v>
      </c>
      <c r="K53" s="8" t="s">
        <v>54</v>
      </c>
      <c r="L53" s="8" t="s">
        <v>32</v>
      </c>
      <c r="M53" s="8" t="s">
        <v>32</v>
      </c>
      <c r="N53" s="9">
        <v>46188</v>
      </c>
      <c r="O53" s="9"/>
      <c r="P53" s="9">
        <v>46223</v>
      </c>
      <c r="Q53" s="7" t="s">
        <v>365</v>
      </c>
      <c r="R53"/>
    </row>
    <row r="54" spans="1:18" ht="42" customHeight="1" x14ac:dyDescent="0.4">
      <c r="A54" s="8">
        <v>11</v>
      </c>
      <c r="B54" s="8" t="s">
        <v>232</v>
      </c>
      <c r="C54" s="8" t="s">
        <v>235</v>
      </c>
      <c r="D54" s="7" t="s">
        <v>366</v>
      </c>
      <c r="E54" s="8" t="s">
        <v>51</v>
      </c>
      <c r="F54" s="8" t="s">
        <v>32</v>
      </c>
      <c r="G54" s="8" t="s">
        <v>31</v>
      </c>
      <c r="H54" s="8" t="s">
        <v>31</v>
      </c>
      <c r="I54" s="8" t="s">
        <v>2</v>
      </c>
      <c r="J54" s="7" t="s">
        <v>367</v>
      </c>
      <c r="K54" s="8" t="s">
        <v>54</v>
      </c>
      <c r="L54" s="8" t="s">
        <v>32</v>
      </c>
      <c r="M54" s="8" t="s">
        <v>32</v>
      </c>
      <c r="N54" s="9">
        <v>46156</v>
      </c>
      <c r="O54" s="9"/>
      <c r="P54" s="9">
        <v>46156</v>
      </c>
      <c r="Q54" s="7" t="s">
        <v>368</v>
      </c>
      <c r="R54"/>
    </row>
    <row r="55" spans="1:18" ht="42" customHeight="1" x14ac:dyDescent="0.4">
      <c r="A55" s="8">
        <v>12</v>
      </c>
      <c r="B55" s="8" t="s">
        <v>232</v>
      </c>
      <c r="C55" s="8" t="s">
        <v>235</v>
      </c>
      <c r="D55" s="7" t="s">
        <v>369</v>
      </c>
      <c r="E55" s="8" t="s">
        <v>51</v>
      </c>
      <c r="F55" s="8" t="s">
        <v>32</v>
      </c>
      <c r="G55" s="8" t="s">
        <v>31</v>
      </c>
      <c r="H55" s="8" t="s">
        <v>31</v>
      </c>
      <c r="I55" s="8" t="s">
        <v>2</v>
      </c>
      <c r="J55" s="7" t="s">
        <v>370</v>
      </c>
      <c r="K55" s="8" t="s">
        <v>54</v>
      </c>
      <c r="L55" s="8" t="s">
        <v>32</v>
      </c>
      <c r="M55" s="8" t="s">
        <v>32</v>
      </c>
      <c r="N55" s="9">
        <v>46156</v>
      </c>
      <c r="O55" s="9"/>
      <c r="P55" s="9">
        <v>46156</v>
      </c>
      <c r="Q55" s="7" t="s">
        <v>368</v>
      </c>
      <c r="R55"/>
    </row>
    <row r="56" spans="1:18" ht="42" customHeight="1" x14ac:dyDescent="0.4">
      <c r="A56" s="8">
        <v>51</v>
      </c>
      <c r="B56" s="8" t="s">
        <v>371</v>
      </c>
      <c r="C56" s="8" t="s">
        <v>272</v>
      </c>
      <c r="D56" s="7" t="s">
        <v>372</v>
      </c>
      <c r="E56" s="8" t="s">
        <v>97</v>
      </c>
      <c r="F56" s="8" t="s">
        <v>32</v>
      </c>
      <c r="G56" s="8" t="s">
        <v>32</v>
      </c>
      <c r="H56" s="8" t="s">
        <v>32</v>
      </c>
      <c r="I56" s="8" t="s">
        <v>98</v>
      </c>
      <c r="J56" s="7" t="s">
        <v>373</v>
      </c>
      <c r="K56" s="8" t="s">
        <v>202</v>
      </c>
      <c r="L56" s="8" t="s">
        <v>31</v>
      </c>
      <c r="M56" s="8" t="s">
        <v>31</v>
      </c>
      <c r="N56" s="9"/>
      <c r="O56" s="9"/>
      <c r="P56" s="9">
        <v>46225</v>
      </c>
      <c r="Q56" s="7" t="s">
        <v>374</v>
      </c>
      <c r="R56"/>
    </row>
    <row r="57" spans="1:18" ht="42" customHeight="1" x14ac:dyDescent="0.4">
      <c r="A57" s="8">
        <v>13</v>
      </c>
      <c r="B57" s="8" t="s">
        <v>232</v>
      </c>
      <c r="C57" s="8" t="s">
        <v>235</v>
      </c>
      <c r="D57" s="7" t="s">
        <v>375</v>
      </c>
      <c r="E57" s="8" t="s">
        <v>51</v>
      </c>
      <c r="F57" s="8" t="s">
        <v>32</v>
      </c>
      <c r="G57" s="8" t="s">
        <v>31</v>
      </c>
      <c r="H57" s="8" t="s">
        <v>31</v>
      </c>
      <c r="I57" s="8" t="s">
        <v>2</v>
      </c>
      <c r="J57" s="7" t="s">
        <v>376</v>
      </c>
      <c r="K57" s="8" t="s">
        <v>54</v>
      </c>
      <c r="L57" s="8" t="s">
        <v>32</v>
      </c>
      <c r="M57" s="8" t="s">
        <v>32</v>
      </c>
      <c r="N57" s="9">
        <v>46156</v>
      </c>
      <c r="O57" s="9"/>
      <c r="P57" s="9">
        <v>46156</v>
      </c>
      <c r="Q57" s="7" t="s">
        <v>368</v>
      </c>
      <c r="R57"/>
    </row>
    <row r="58" spans="1:18" ht="42" customHeight="1" x14ac:dyDescent="0.4">
      <c r="A58" s="8">
        <v>53</v>
      </c>
      <c r="B58" s="8" t="s">
        <v>148</v>
      </c>
      <c r="C58" s="8" t="s">
        <v>377</v>
      </c>
      <c r="D58" s="7" t="s">
        <v>378</v>
      </c>
      <c r="E58" s="8" t="s">
        <v>32</v>
      </c>
      <c r="F58" s="8" t="s">
        <v>51</v>
      </c>
      <c r="G58" s="8" t="s">
        <v>32</v>
      </c>
      <c r="H58" s="8" t="s">
        <v>32</v>
      </c>
      <c r="I58" s="8" t="s">
        <v>98</v>
      </c>
      <c r="J58" s="7" t="s">
        <v>379</v>
      </c>
      <c r="K58" s="8" t="s">
        <v>380</v>
      </c>
      <c r="L58" s="8" t="s">
        <v>31</v>
      </c>
      <c r="M58" s="8" t="s">
        <v>31</v>
      </c>
      <c r="N58" s="9">
        <v>46154</v>
      </c>
      <c r="O58" s="9"/>
      <c r="P58" s="9">
        <v>46225</v>
      </c>
      <c r="Q58" s="7" t="s">
        <v>381</v>
      </c>
      <c r="R58"/>
    </row>
    <row r="59" spans="1:18" ht="42" customHeight="1" x14ac:dyDescent="0.4">
      <c r="A59" s="8">
        <v>19</v>
      </c>
      <c r="B59" s="8" t="s">
        <v>232</v>
      </c>
      <c r="C59" s="8" t="s">
        <v>264</v>
      </c>
      <c r="D59" s="7" t="s">
        <v>382</v>
      </c>
      <c r="E59" s="8" t="s">
        <v>51</v>
      </c>
      <c r="F59" s="8" t="s">
        <v>32</v>
      </c>
      <c r="G59" s="8" t="s">
        <v>31</v>
      </c>
      <c r="H59" s="8" t="s">
        <v>31</v>
      </c>
      <c r="I59" s="8" t="s">
        <v>2</v>
      </c>
      <c r="J59" s="7" t="s">
        <v>383</v>
      </c>
      <c r="K59" s="8" t="s">
        <v>54</v>
      </c>
      <c r="L59" s="8" t="s">
        <v>32</v>
      </c>
      <c r="M59" s="8" t="s">
        <v>32</v>
      </c>
      <c r="N59" s="9">
        <v>46156</v>
      </c>
      <c r="O59" s="9"/>
      <c r="P59" s="9">
        <v>46156</v>
      </c>
      <c r="Q59" s="7" t="s">
        <v>384</v>
      </c>
      <c r="R59"/>
    </row>
    <row r="60" spans="1:18" ht="42" customHeight="1" x14ac:dyDescent="0.4">
      <c r="A60" s="8">
        <v>22</v>
      </c>
      <c r="B60" s="8" t="s">
        <v>204</v>
      </c>
      <c r="C60" s="8" t="s">
        <v>162</v>
      </c>
      <c r="D60" s="7" t="s">
        <v>385</v>
      </c>
      <c r="E60" s="8" t="s">
        <v>51</v>
      </c>
      <c r="F60" s="8" t="s">
        <v>32</v>
      </c>
      <c r="G60" s="8" t="s">
        <v>31</v>
      </c>
      <c r="H60" s="8" t="s">
        <v>31</v>
      </c>
      <c r="I60" s="8" t="s">
        <v>2</v>
      </c>
      <c r="J60" s="7" t="s">
        <v>386</v>
      </c>
      <c r="K60" s="8" t="s">
        <v>54</v>
      </c>
      <c r="L60" s="8" t="s">
        <v>32</v>
      </c>
      <c r="M60" s="8" t="s">
        <v>32</v>
      </c>
      <c r="N60" s="9">
        <v>46125</v>
      </c>
      <c r="O60" s="9"/>
      <c r="P60" s="9">
        <v>46225</v>
      </c>
      <c r="Q60" s="7" t="s">
        <v>387</v>
      </c>
      <c r="R60"/>
    </row>
    <row r="61" spans="1:18" ht="42" customHeight="1" x14ac:dyDescent="0.4">
      <c r="A61" s="8">
        <v>56</v>
      </c>
      <c r="B61" s="8" t="s">
        <v>137</v>
      </c>
      <c r="C61" s="8" t="s">
        <v>377</v>
      </c>
      <c r="D61" s="7" t="s">
        <v>388</v>
      </c>
      <c r="E61" s="8" t="s">
        <v>32</v>
      </c>
      <c r="F61" s="8" t="s">
        <v>51</v>
      </c>
      <c r="G61" s="8" t="s">
        <v>32</v>
      </c>
      <c r="H61" s="8" t="s">
        <v>32</v>
      </c>
      <c r="I61" s="8" t="s">
        <v>98</v>
      </c>
      <c r="J61" s="7" t="s">
        <v>389</v>
      </c>
      <c r="K61" s="8" t="s">
        <v>202</v>
      </c>
      <c r="L61" s="8" t="s">
        <v>31</v>
      </c>
      <c r="M61" s="8" t="s">
        <v>32</v>
      </c>
      <c r="N61" s="9"/>
      <c r="O61" s="9"/>
      <c r="P61" s="9">
        <v>46224</v>
      </c>
      <c r="Q61" s="7" t="s">
        <v>390</v>
      </c>
      <c r="R61"/>
    </row>
    <row r="62" spans="1:18" ht="42" customHeight="1" x14ac:dyDescent="0.4">
      <c r="A62" s="8">
        <v>23</v>
      </c>
      <c r="B62" s="8" t="s">
        <v>204</v>
      </c>
      <c r="C62" s="8" t="s">
        <v>162</v>
      </c>
      <c r="D62" s="7" t="s">
        <v>50</v>
      </c>
      <c r="E62" s="8" t="s">
        <v>51</v>
      </c>
      <c r="F62" s="8" t="s">
        <v>32</v>
      </c>
      <c r="G62" s="8" t="s">
        <v>31</v>
      </c>
      <c r="H62" s="8" t="s">
        <v>31</v>
      </c>
      <c r="I62" s="8" t="s">
        <v>2</v>
      </c>
      <c r="J62" s="7" t="s">
        <v>391</v>
      </c>
      <c r="K62" s="8" t="s">
        <v>54</v>
      </c>
      <c r="L62" s="8" t="s">
        <v>32</v>
      </c>
      <c r="M62" s="8" t="s">
        <v>32</v>
      </c>
      <c r="N62" s="9">
        <v>46125</v>
      </c>
      <c r="O62" s="9"/>
      <c r="P62" s="9">
        <v>46156</v>
      </c>
      <c r="Q62" s="7" t="s">
        <v>392</v>
      </c>
      <c r="R62"/>
    </row>
    <row r="63" spans="1:18" ht="42" customHeight="1" x14ac:dyDescent="0.4">
      <c r="A63" s="8">
        <v>24</v>
      </c>
      <c r="B63" s="8" t="s">
        <v>204</v>
      </c>
      <c r="C63" s="8" t="s">
        <v>162</v>
      </c>
      <c r="D63" s="7" t="s">
        <v>56</v>
      </c>
      <c r="E63" s="8" t="s">
        <v>51</v>
      </c>
      <c r="F63" s="8" t="s">
        <v>32</v>
      </c>
      <c r="G63" s="8" t="s">
        <v>31</v>
      </c>
      <c r="H63" s="8" t="s">
        <v>31</v>
      </c>
      <c r="I63" s="8" t="s">
        <v>2</v>
      </c>
      <c r="J63" s="7" t="s">
        <v>393</v>
      </c>
      <c r="K63" s="8" t="s">
        <v>54</v>
      </c>
      <c r="L63" s="8" t="s">
        <v>32</v>
      </c>
      <c r="M63" s="8" t="s">
        <v>32</v>
      </c>
      <c r="N63" s="9">
        <v>46125</v>
      </c>
      <c r="O63" s="9"/>
      <c r="P63" s="9">
        <v>46155</v>
      </c>
      <c r="Q63" s="7" t="s">
        <v>394</v>
      </c>
      <c r="R63"/>
    </row>
    <row r="64" spans="1:18" ht="42" customHeight="1" x14ac:dyDescent="0.4">
      <c r="A64" s="8">
        <v>25</v>
      </c>
      <c r="B64" s="8" t="s">
        <v>204</v>
      </c>
      <c r="C64" s="8" t="s">
        <v>162</v>
      </c>
      <c r="D64" s="7" t="s">
        <v>60</v>
      </c>
      <c r="E64" s="8" t="s">
        <v>51</v>
      </c>
      <c r="F64" s="8" t="s">
        <v>32</v>
      </c>
      <c r="G64" s="8" t="s">
        <v>31</v>
      </c>
      <c r="H64" s="8" t="s">
        <v>31</v>
      </c>
      <c r="I64" s="8" t="s">
        <v>2</v>
      </c>
      <c r="J64" s="7" t="s">
        <v>395</v>
      </c>
      <c r="K64" s="8" t="s">
        <v>54</v>
      </c>
      <c r="L64" s="8" t="s">
        <v>32</v>
      </c>
      <c r="M64" s="8" t="s">
        <v>32</v>
      </c>
      <c r="N64" s="9">
        <v>46125</v>
      </c>
      <c r="O64" s="9"/>
      <c r="P64" s="9">
        <v>46155</v>
      </c>
      <c r="Q64" s="7" t="s">
        <v>62</v>
      </c>
      <c r="R64"/>
    </row>
    <row r="65" spans="1:18" ht="42" customHeight="1" x14ac:dyDescent="0.4">
      <c r="A65" s="8">
        <v>28</v>
      </c>
      <c r="B65" s="8" t="s">
        <v>204</v>
      </c>
      <c r="C65" s="8" t="s">
        <v>162</v>
      </c>
      <c r="D65" s="7" t="s">
        <v>75</v>
      </c>
      <c r="E65" s="8" t="s">
        <v>51</v>
      </c>
      <c r="F65" s="8" t="s">
        <v>32</v>
      </c>
      <c r="G65" s="8" t="s">
        <v>31</v>
      </c>
      <c r="H65" s="8" t="s">
        <v>31</v>
      </c>
      <c r="I65" s="8" t="s">
        <v>2</v>
      </c>
      <c r="J65" s="7" t="s">
        <v>396</v>
      </c>
      <c r="K65" s="8" t="s">
        <v>54</v>
      </c>
      <c r="L65" s="8" t="s">
        <v>32</v>
      </c>
      <c r="M65" s="8" t="s">
        <v>32</v>
      </c>
      <c r="N65" s="9">
        <v>46125</v>
      </c>
      <c r="O65" s="9"/>
      <c r="P65" s="9">
        <v>46224</v>
      </c>
      <c r="Q65" s="7" t="s">
        <v>397</v>
      </c>
      <c r="R65"/>
    </row>
    <row r="66" spans="1:18" ht="42" customHeight="1" x14ac:dyDescent="0.4">
      <c r="A66" s="8">
        <v>31</v>
      </c>
      <c r="B66" s="8" t="s">
        <v>322</v>
      </c>
      <c r="C66" s="8" t="s">
        <v>162</v>
      </c>
      <c r="D66" s="7" t="s">
        <v>398</v>
      </c>
      <c r="E66" s="8" t="s">
        <v>51</v>
      </c>
      <c r="F66" s="8" t="s">
        <v>32</v>
      </c>
      <c r="G66" s="8" t="s">
        <v>31</v>
      </c>
      <c r="H66" s="8" t="s">
        <v>31</v>
      </c>
      <c r="I66" s="8" t="s">
        <v>2</v>
      </c>
      <c r="J66" s="7" t="s">
        <v>399</v>
      </c>
      <c r="K66" s="8" t="s">
        <v>54</v>
      </c>
      <c r="L66" s="8" t="s">
        <v>32</v>
      </c>
      <c r="M66" s="8" t="s">
        <v>31</v>
      </c>
      <c r="N66" s="9">
        <v>46225</v>
      </c>
      <c r="O66" s="9">
        <v>46225</v>
      </c>
      <c r="P66" s="9">
        <v>46225</v>
      </c>
      <c r="Q66" s="7" t="s">
        <v>400</v>
      </c>
      <c r="R66"/>
    </row>
    <row r="67" spans="1:18" ht="42" customHeight="1" x14ac:dyDescent="0.4">
      <c r="A67" s="8">
        <v>49</v>
      </c>
      <c r="B67" s="8" t="s">
        <v>371</v>
      </c>
      <c r="C67" s="8" t="s">
        <v>272</v>
      </c>
      <c r="D67" s="7" t="s">
        <v>401</v>
      </c>
      <c r="E67" s="8" t="s">
        <v>51</v>
      </c>
      <c r="F67" s="8" t="s">
        <v>32</v>
      </c>
      <c r="G67" s="8" t="s">
        <v>31</v>
      </c>
      <c r="H67" s="8" t="s">
        <v>31</v>
      </c>
      <c r="I67" s="8" t="s">
        <v>2</v>
      </c>
      <c r="J67" s="7" t="s">
        <v>402</v>
      </c>
      <c r="K67" s="8" t="s">
        <v>54</v>
      </c>
      <c r="L67" s="8" t="s">
        <v>32</v>
      </c>
      <c r="M67" s="8" t="s">
        <v>32</v>
      </c>
      <c r="N67" s="9">
        <v>46134</v>
      </c>
      <c r="O67" s="9">
        <v>46224</v>
      </c>
      <c r="P67" s="9">
        <v>46224</v>
      </c>
      <c r="Q67" s="7" t="s">
        <v>403</v>
      </c>
      <c r="R67"/>
    </row>
    <row r="68" spans="1:18" ht="42" customHeight="1" x14ac:dyDescent="0.4">
      <c r="A68" s="8">
        <v>63</v>
      </c>
      <c r="B68" s="8" t="s">
        <v>137</v>
      </c>
      <c r="C68" s="8" t="s">
        <v>404</v>
      </c>
      <c r="D68" s="7" t="s">
        <v>405</v>
      </c>
      <c r="E68" s="8" t="s">
        <v>32</v>
      </c>
      <c r="F68" s="8" t="s">
        <v>51</v>
      </c>
      <c r="G68" s="8" t="s">
        <v>31</v>
      </c>
      <c r="H68" s="8" t="s">
        <v>253</v>
      </c>
      <c r="I68" s="8" t="s">
        <v>3</v>
      </c>
      <c r="J68" s="7" t="s">
        <v>406</v>
      </c>
      <c r="K68" s="8" t="s">
        <v>54</v>
      </c>
      <c r="L68" s="8" t="s">
        <v>32</v>
      </c>
      <c r="M68" s="8" t="s">
        <v>31</v>
      </c>
      <c r="N68" s="9">
        <v>46225</v>
      </c>
      <c r="O68" s="9"/>
      <c r="P68" s="9">
        <v>46225</v>
      </c>
      <c r="Q68" s="7" t="s">
        <v>407</v>
      </c>
      <c r="R68"/>
    </row>
    <row r="69" spans="1:18" ht="42" customHeight="1" x14ac:dyDescent="0.4">
      <c r="A69" s="8">
        <v>50</v>
      </c>
      <c r="B69" s="8" t="s">
        <v>408</v>
      </c>
      <c r="C69" s="8" t="s">
        <v>272</v>
      </c>
      <c r="D69" s="7" t="s">
        <v>409</v>
      </c>
      <c r="E69" s="8" t="s">
        <v>51</v>
      </c>
      <c r="F69" s="8" t="s">
        <v>32</v>
      </c>
      <c r="G69" s="8" t="s">
        <v>31</v>
      </c>
      <c r="H69" s="8" t="s">
        <v>31</v>
      </c>
      <c r="I69" s="8" t="s">
        <v>2</v>
      </c>
      <c r="J69" s="7" t="s">
        <v>410</v>
      </c>
      <c r="K69" s="8" t="s">
        <v>54</v>
      </c>
      <c r="L69" s="8" t="s">
        <v>32</v>
      </c>
      <c r="M69" s="8" t="s">
        <v>32</v>
      </c>
      <c r="N69" s="9">
        <v>46206</v>
      </c>
      <c r="O69" s="9">
        <v>46224</v>
      </c>
      <c r="P69" s="9">
        <v>46224</v>
      </c>
      <c r="Q69" s="7" t="s">
        <v>411</v>
      </c>
      <c r="R69"/>
    </row>
    <row r="70" spans="1:18" ht="42" customHeight="1" x14ac:dyDescent="0.4">
      <c r="A70" s="8">
        <v>65</v>
      </c>
      <c r="B70" s="8" t="s">
        <v>148</v>
      </c>
      <c r="C70" s="8" t="s">
        <v>412</v>
      </c>
      <c r="D70" s="7" t="s">
        <v>413</v>
      </c>
      <c r="E70" s="8" t="s">
        <v>32</v>
      </c>
      <c r="F70" s="8" t="s">
        <v>32</v>
      </c>
      <c r="G70" s="8" t="s">
        <v>31</v>
      </c>
      <c r="H70" s="8" t="s">
        <v>414</v>
      </c>
      <c r="I70" s="8" t="s">
        <v>2</v>
      </c>
      <c r="J70" s="7" t="s">
        <v>415</v>
      </c>
      <c r="K70" s="8" t="s">
        <v>54</v>
      </c>
      <c r="L70" s="8" t="s">
        <v>32</v>
      </c>
      <c r="M70" s="8" t="s">
        <v>32</v>
      </c>
      <c r="N70" s="9">
        <v>46215</v>
      </c>
      <c r="O70" s="9">
        <v>46222</v>
      </c>
      <c r="P70" s="9">
        <v>46222</v>
      </c>
      <c r="Q70" s="7" t="s">
        <v>416</v>
      </c>
      <c r="R70"/>
    </row>
    <row r="71" spans="1:18" ht="42" customHeight="1" x14ac:dyDescent="0.4">
      <c r="A71" s="8">
        <v>66</v>
      </c>
      <c r="B71" s="8" t="s">
        <v>148</v>
      </c>
      <c r="C71" s="8" t="s">
        <v>417</v>
      </c>
      <c r="D71" s="7" t="s">
        <v>418</v>
      </c>
      <c r="E71" s="8" t="s">
        <v>32</v>
      </c>
      <c r="F71" s="8" t="s">
        <v>51</v>
      </c>
      <c r="G71" s="8" t="s">
        <v>31</v>
      </c>
      <c r="H71" s="8" t="s">
        <v>31</v>
      </c>
      <c r="I71" s="8" t="s">
        <v>2</v>
      </c>
      <c r="J71" s="7" t="s">
        <v>419</v>
      </c>
      <c r="K71" s="8" t="s">
        <v>54</v>
      </c>
      <c r="L71" s="8" t="s">
        <v>32</v>
      </c>
      <c r="M71" s="8" t="s">
        <v>31</v>
      </c>
      <c r="N71" s="9">
        <v>46225</v>
      </c>
      <c r="O71" s="9">
        <v>46225</v>
      </c>
      <c r="P71" s="9">
        <v>46225</v>
      </c>
      <c r="Q71" s="7" t="s">
        <v>420</v>
      </c>
      <c r="R71"/>
    </row>
    <row r="72" spans="1:18" ht="42" customHeight="1" x14ac:dyDescent="0.4">
      <c r="A72" s="8">
        <v>4</v>
      </c>
      <c r="B72" s="8" t="s">
        <v>137</v>
      </c>
      <c r="C72" s="8" t="s">
        <v>199</v>
      </c>
      <c r="D72" s="7" t="s">
        <v>421</v>
      </c>
      <c r="E72" s="8" t="s">
        <v>51</v>
      </c>
      <c r="F72" s="8" t="s">
        <v>32</v>
      </c>
      <c r="G72" s="8" t="s">
        <v>97</v>
      </c>
      <c r="H72" s="8" t="s">
        <v>32</v>
      </c>
      <c r="I72" s="8" t="s">
        <v>139</v>
      </c>
      <c r="J72" s="7" t="s">
        <v>422</v>
      </c>
      <c r="K72" s="8" t="s">
        <v>238</v>
      </c>
      <c r="L72" s="8" t="s">
        <v>31</v>
      </c>
      <c r="M72" s="8" t="s">
        <v>31</v>
      </c>
      <c r="N72" s="9">
        <v>46168</v>
      </c>
      <c r="O72" s="9"/>
      <c r="P72" s="9">
        <v>46224</v>
      </c>
      <c r="Q72" s="7" t="s">
        <v>423</v>
      </c>
      <c r="R72"/>
    </row>
    <row r="73" spans="1:18" ht="42" customHeight="1" x14ac:dyDescent="0.4">
      <c r="A73" s="8">
        <v>68</v>
      </c>
      <c r="B73" s="8" t="s">
        <v>232</v>
      </c>
      <c r="C73" s="8" t="s">
        <v>424</v>
      </c>
      <c r="D73" s="7" t="s">
        <v>425</v>
      </c>
      <c r="E73" s="8" t="s">
        <v>32</v>
      </c>
      <c r="F73" s="8" t="s">
        <v>51</v>
      </c>
      <c r="G73" s="8" t="s">
        <v>31</v>
      </c>
      <c r="H73" s="8" t="s">
        <v>253</v>
      </c>
      <c r="I73" s="8" t="s">
        <v>3</v>
      </c>
      <c r="J73" s="7" t="s">
        <v>426</v>
      </c>
      <c r="K73" s="8" t="s">
        <v>54</v>
      </c>
      <c r="L73" s="8" t="s">
        <v>32</v>
      </c>
      <c r="M73" s="8" t="s">
        <v>31</v>
      </c>
      <c r="N73" s="9">
        <v>46225</v>
      </c>
      <c r="O73" s="9"/>
      <c r="P73" s="9">
        <v>46225</v>
      </c>
      <c r="Q73" s="7" t="s">
        <v>427</v>
      </c>
    </row>
    <row r="74" spans="1:18" ht="42" customHeight="1" x14ac:dyDescent="0.4">
      <c r="A74" s="8">
        <v>69</v>
      </c>
      <c r="B74" s="8" t="s">
        <v>232</v>
      </c>
      <c r="C74" s="8" t="s">
        <v>428</v>
      </c>
      <c r="D74" s="7" t="s">
        <v>429</v>
      </c>
      <c r="E74" s="8" t="s">
        <v>51</v>
      </c>
      <c r="F74" s="8" t="s">
        <v>32</v>
      </c>
      <c r="G74" s="8" t="s">
        <v>31</v>
      </c>
      <c r="H74" s="8" t="s">
        <v>253</v>
      </c>
      <c r="I74" s="8" t="s">
        <v>3</v>
      </c>
      <c r="J74" s="7" t="s">
        <v>430</v>
      </c>
      <c r="K74" s="8" t="s">
        <v>54</v>
      </c>
      <c r="L74" s="8" t="s">
        <v>32</v>
      </c>
      <c r="M74" s="8" t="s">
        <v>31</v>
      </c>
      <c r="N74" s="9">
        <v>46225</v>
      </c>
      <c r="O74" s="9"/>
      <c r="P74" s="9">
        <v>46225</v>
      </c>
      <c r="Q74" s="7" t="s">
        <v>431</v>
      </c>
    </row>
  </sheetData>
  <mergeCells count="3">
    <mergeCell ref="A1:R1"/>
    <mergeCell ref="A2:R2"/>
    <mergeCell ref="A3:R3"/>
  </mergeCells>
  <phoneticPr fontId="9" type="noConversion"/>
  <conditionalFormatting sqref="I6:I72">
    <cfRule type="expression" dxfId="10" priority="4">
      <formula>$I6="개발 필요"</formula>
    </cfRule>
    <cfRule type="expression" dxfId="9" priority="5">
      <formula>$I6="분석 필요"</formula>
    </cfRule>
    <cfRule type="expression" dxfId="8" priority="6">
      <formula>$I6="출력 불가"</formula>
    </cfRule>
    <cfRule type="expression" dxfId="7" priority="7">
      <formula>$I6="벤더/API 대기"</formula>
    </cfRule>
  </conditionalFormatting>
  <conditionalFormatting sqref="I6:I74">
    <cfRule type="expression" dxfId="6" priority="1">
      <formula>$I6="완료"</formula>
    </cfRule>
    <cfRule type="expression" dxfId="5" priority="2">
      <formula>$I6="실기 검증 대기"</formula>
    </cfRule>
    <cfRule type="expression" dxfId="4" priority="3">
      <formula>$I6="부분 구현"</formula>
    </cfRule>
  </conditionalFormatting>
  <conditionalFormatting sqref="I73:I74">
    <cfRule type="expression" dxfId="3" priority="11">
      <formula>$I73="개발 필요"</formula>
    </cfRule>
    <cfRule type="expression" dxfId="2" priority="12">
      <formula>$I73="분석 필요"</formula>
    </cfRule>
    <cfRule type="expression" dxfId="1" priority="13">
      <formula>$I73="출력 불가"</formula>
    </cfRule>
    <cfRule type="expression" dxfId="0" priority="14">
      <formula>$I73="벤더/API 대기"</formula>
    </cfRule>
  </conditionalFormatting>
  <dataValidations count="4">
    <dataValidation type="list" sqref="G6:G74" xr:uid="{00000000-0002-0000-0100-000000000000}">
      <formula1>"O,△,X"</formula1>
    </dataValidation>
    <dataValidation type="list" sqref="H6:H74" xr:uid="{00000000-0002-0000-0100-000001000000}">
      <formula1>"O,대기,X,해당없음"</formula1>
    </dataValidation>
    <dataValidation type="list" sqref="I6:I74" xr:uid="{00000000-0002-0000-0100-000002000000}">
      <formula1>"완료,실기 검증 대기,부분 구현,개발 필요,분석 필요,출력 불가,벤더/API 대기"</formula1>
    </dataValidation>
    <dataValidation type="list" sqref="L6:M74" xr:uid="{00000000-0002-0000-0100-000003000000}">
      <formula1>"O,X"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showGridLines="0" workbookViewId="0"/>
  </sheetViews>
  <sheetFormatPr defaultRowHeight="17.399999999999999" x14ac:dyDescent="0.4"/>
  <cols>
    <col min="1" max="1" width="19.69921875" customWidth="1"/>
    <col min="2" max="2" width="11.09765625" customWidth="1"/>
    <col min="3" max="3" width="9.296875" customWidth="1"/>
    <col min="4" max="4" width="37.59765625" customWidth="1"/>
    <col min="5" max="5" width="27" customWidth="1"/>
    <col min="6" max="6" width="9.19921875" customWidth="1"/>
    <col min="7" max="7" width="35.19921875" customWidth="1"/>
  </cols>
  <sheetData>
    <row r="1" spans="1:7" x14ac:dyDescent="0.4">
      <c r="A1" s="11" t="s">
        <v>16</v>
      </c>
      <c r="B1" s="11"/>
      <c r="C1" s="11"/>
      <c r="D1" s="11"/>
      <c r="E1" s="11"/>
      <c r="F1" s="11"/>
      <c r="G1" s="11"/>
    </row>
    <row r="2" spans="1:7" x14ac:dyDescent="0.4">
      <c r="A2" s="28" t="s">
        <v>17</v>
      </c>
      <c r="B2" s="28"/>
      <c r="C2" s="28"/>
      <c r="D2" s="28"/>
      <c r="E2" s="28"/>
      <c r="F2" s="28"/>
      <c r="G2" s="28"/>
    </row>
    <row r="4" spans="1:7" ht="15" customHeight="1" x14ac:dyDescent="0.4">
      <c r="A4" s="10" t="s">
        <v>18</v>
      </c>
      <c r="B4" s="10"/>
      <c r="C4" s="10"/>
      <c r="D4" s="10"/>
      <c r="E4" s="10"/>
      <c r="F4" s="10"/>
      <c r="G4" s="10"/>
    </row>
    <row r="5" spans="1:7" ht="37.950000000000003" customHeight="1" x14ac:dyDescent="0.4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36" customHeight="1" x14ac:dyDescent="0.4">
      <c r="A6" s="3" t="s">
        <v>26</v>
      </c>
      <c r="B6" s="3" t="s">
        <v>27</v>
      </c>
      <c r="C6" s="3" t="s">
        <v>432</v>
      </c>
      <c r="D6" s="3" t="s">
        <v>2</v>
      </c>
      <c r="E6" s="3" t="s">
        <v>31</v>
      </c>
      <c r="F6" s="3" t="s">
        <v>32</v>
      </c>
      <c r="G6" s="3" t="s">
        <v>433</v>
      </c>
    </row>
    <row r="7" spans="1:7" ht="36" customHeight="1" x14ac:dyDescent="0.4">
      <c r="A7" s="3" t="s">
        <v>28</v>
      </c>
      <c r="B7" s="3" t="s">
        <v>29</v>
      </c>
      <c r="C7" s="3" t="s">
        <v>30</v>
      </c>
      <c r="D7" s="3" t="s">
        <v>2</v>
      </c>
      <c r="E7" s="3" t="s">
        <v>31</v>
      </c>
      <c r="F7" s="3" t="s">
        <v>32</v>
      </c>
      <c r="G7" s="3" t="s">
        <v>33</v>
      </c>
    </row>
    <row r="8" spans="1:7" ht="36" customHeight="1" x14ac:dyDescent="0.4">
      <c r="A8" s="3" t="s">
        <v>34</v>
      </c>
      <c r="B8" s="3" t="s">
        <v>35</v>
      </c>
      <c r="C8" s="3" t="s">
        <v>36</v>
      </c>
      <c r="D8" s="3" t="s">
        <v>2</v>
      </c>
      <c r="E8" s="3" t="s">
        <v>31</v>
      </c>
      <c r="F8" s="3" t="s">
        <v>32</v>
      </c>
      <c r="G8" s="3" t="s">
        <v>37</v>
      </c>
    </row>
    <row r="9" spans="1:7" ht="36" customHeight="1" x14ac:dyDescent="0.4">
      <c r="A9" s="3" t="s">
        <v>38</v>
      </c>
      <c r="B9" s="3" t="s">
        <v>39</v>
      </c>
      <c r="C9" s="3" t="s">
        <v>40</v>
      </c>
      <c r="D9" s="3" t="s">
        <v>2</v>
      </c>
      <c r="E9" s="3" t="s">
        <v>31</v>
      </c>
      <c r="F9" s="3" t="s">
        <v>32</v>
      </c>
      <c r="G9" s="3" t="s">
        <v>41</v>
      </c>
    </row>
    <row r="11" spans="1:7" ht="15" customHeight="1" x14ac:dyDescent="0.4">
      <c r="A11" s="10" t="s">
        <v>42</v>
      </c>
      <c r="B11" s="10"/>
      <c r="C11" s="10"/>
      <c r="D11" s="10"/>
      <c r="E11" s="10"/>
      <c r="F11" s="10"/>
      <c r="G11" s="10"/>
    </row>
    <row r="12" spans="1:7" ht="37.950000000000003" customHeight="1" x14ac:dyDescent="0.4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49</v>
      </c>
    </row>
    <row r="13" spans="1:7" ht="36" customHeight="1" x14ac:dyDescent="0.4">
      <c r="A13" s="3" t="s">
        <v>50</v>
      </c>
      <c r="B13" s="3" t="s">
        <v>51</v>
      </c>
      <c r="C13" s="3" t="s">
        <v>2</v>
      </c>
      <c r="D13" s="3" t="s">
        <v>52</v>
      </c>
      <c r="E13" s="3" t="s">
        <v>53</v>
      </c>
      <c r="F13" s="3" t="s">
        <v>54</v>
      </c>
      <c r="G13" s="3" t="s">
        <v>55</v>
      </c>
    </row>
    <row r="14" spans="1:7" ht="36" customHeight="1" x14ac:dyDescent="0.4">
      <c r="A14" s="3" t="s">
        <v>56</v>
      </c>
      <c r="B14" s="3" t="s">
        <v>51</v>
      </c>
      <c r="C14" s="3" t="s">
        <v>2</v>
      </c>
      <c r="D14" s="3" t="s">
        <v>57</v>
      </c>
      <c r="E14" s="3" t="s">
        <v>58</v>
      </c>
      <c r="F14" s="3" t="s">
        <v>54</v>
      </c>
      <c r="G14" s="3" t="s">
        <v>59</v>
      </c>
    </row>
    <row r="15" spans="1:7" ht="36" customHeight="1" x14ac:dyDescent="0.4">
      <c r="A15" s="3" t="s">
        <v>60</v>
      </c>
      <c r="B15" s="3" t="s">
        <v>51</v>
      </c>
      <c r="C15" s="3" t="s">
        <v>2</v>
      </c>
      <c r="D15" s="3" t="s">
        <v>61</v>
      </c>
      <c r="E15" s="3" t="s">
        <v>61</v>
      </c>
      <c r="F15" s="3" t="s">
        <v>54</v>
      </c>
      <c r="G15" s="3" t="s">
        <v>62</v>
      </c>
    </row>
    <row r="16" spans="1:7" ht="36" customHeight="1" x14ac:dyDescent="0.4">
      <c r="A16" s="3" t="s">
        <v>63</v>
      </c>
      <c r="B16" s="3" t="s">
        <v>51</v>
      </c>
      <c r="C16" s="3" t="s">
        <v>64</v>
      </c>
      <c r="D16" s="3" t="s">
        <v>65</v>
      </c>
      <c r="E16" s="3" t="s">
        <v>66</v>
      </c>
      <c r="F16" s="3" t="s">
        <v>67</v>
      </c>
      <c r="G16" s="3" t="s">
        <v>68</v>
      </c>
    </row>
    <row r="17" spans="1:7" ht="36" customHeight="1" x14ac:dyDescent="0.4">
      <c r="A17" s="3" t="s">
        <v>69</v>
      </c>
      <c r="B17" s="3" t="s">
        <v>51</v>
      </c>
      <c r="C17" s="3" t="s">
        <v>70</v>
      </c>
      <c r="D17" s="3" t="s">
        <v>71</v>
      </c>
      <c r="E17" s="3" t="s">
        <v>72</v>
      </c>
      <c r="F17" s="3" t="s">
        <v>73</v>
      </c>
      <c r="G17" s="3" t="s">
        <v>74</v>
      </c>
    </row>
    <row r="18" spans="1:7" ht="36" customHeight="1" x14ac:dyDescent="0.4">
      <c r="A18" s="3" t="s">
        <v>75</v>
      </c>
      <c r="B18" s="3" t="s">
        <v>51</v>
      </c>
      <c r="C18" s="3" t="s">
        <v>2</v>
      </c>
      <c r="D18" s="3" t="s">
        <v>76</v>
      </c>
      <c r="E18" s="3" t="s">
        <v>77</v>
      </c>
      <c r="F18" s="3" t="s">
        <v>54</v>
      </c>
      <c r="G18" s="3" t="s">
        <v>78</v>
      </c>
    </row>
    <row r="19" spans="1:7" ht="36" customHeight="1" x14ac:dyDescent="0.4">
      <c r="A19" s="3" t="s">
        <v>79</v>
      </c>
      <c r="B19" s="3" t="s">
        <v>51</v>
      </c>
      <c r="C19" s="3" t="s">
        <v>70</v>
      </c>
      <c r="D19" s="3" t="s">
        <v>80</v>
      </c>
      <c r="E19" s="3" t="s">
        <v>81</v>
      </c>
      <c r="F19" s="3" t="s">
        <v>73</v>
      </c>
      <c r="G19" s="3" t="s">
        <v>74</v>
      </c>
    </row>
    <row r="20" spans="1:7" ht="36" customHeight="1" x14ac:dyDescent="0.4">
      <c r="A20" s="3" t="s">
        <v>82</v>
      </c>
      <c r="B20" s="3" t="s">
        <v>51</v>
      </c>
      <c r="C20" s="3" t="s">
        <v>70</v>
      </c>
      <c r="D20" s="3" t="s">
        <v>83</v>
      </c>
      <c r="E20" s="3" t="s">
        <v>81</v>
      </c>
      <c r="F20" s="3" t="s">
        <v>73</v>
      </c>
      <c r="G20" s="3" t="s">
        <v>74</v>
      </c>
    </row>
    <row r="22" spans="1:7" ht="15" customHeight="1" x14ac:dyDescent="0.4">
      <c r="A22" s="10" t="s">
        <v>84</v>
      </c>
      <c r="B22" s="10"/>
      <c r="C22" s="10"/>
      <c r="D22" s="10"/>
      <c r="E22" s="10"/>
      <c r="F22" s="10"/>
      <c r="G22" s="10"/>
    </row>
    <row r="23" spans="1:7" ht="37.950000000000003" customHeight="1" x14ac:dyDescent="0.4">
      <c r="A23" s="2" t="s">
        <v>85</v>
      </c>
      <c r="B23" s="2" t="s">
        <v>44</v>
      </c>
      <c r="C23" s="2" t="s">
        <v>45</v>
      </c>
      <c r="D23" s="2" t="s">
        <v>86</v>
      </c>
      <c r="E23" s="2" t="s">
        <v>87</v>
      </c>
      <c r="F23" s="2" t="s">
        <v>48</v>
      </c>
      <c r="G23" s="2" t="s">
        <v>25</v>
      </c>
    </row>
    <row r="24" spans="1:7" ht="36" customHeight="1" x14ac:dyDescent="0.4">
      <c r="A24" s="3" t="s">
        <v>88</v>
      </c>
      <c r="B24" s="3" t="s">
        <v>51</v>
      </c>
      <c r="C24" s="3" t="s">
        <v>70</v>
      </c>
      <c r="D24" s="3" t="s">
        <v>89</v>
      </c>
      <c r="E24" s="3" t="s">
        <v>90</v>
      </c>
      <c r="F24" s="3" t="s">
        <v>73</v>
      </c>
      <c r="G24" s="3" t="s">
        <v>91</v>
      </c>
    </row>
    <row r="25" spans="1:7" ht="36" customHeight="1" x14ac:dyDescent="0.4">
      <c r="A25" s="3" t="s">
        <v>92</v>
      </c>
      <c r="B25" s="3" t="s">
        <v>51</v>
      </c>
      <c r="C25" s="3" t="s">
        <v>70</v>
      </c>
      <c r="D25" s="3" t="s">
        <v>93</v>
      </c>
      <c r="E25" s="3" t="s">
        <v>94</v>
      </c>
      <c r="F25" s="3" t="s">
        <v>73</v>
      </c>
      <c r="G25" s="3" t="s">
        <v>95</v>
      </c>
    </row>
    <row r="26" spans="1:7" ht="36" customHeight="1" x14ac:dyDescent="0.4">
      <c r="A26" s="3" t="s">
        <v>96</v>
      </c>
      <c r="B26" s="3" t="s">
        <v>97</v>
      </c>
      <c r="C26" s="3" t="s">
        <v>98</v>
      </c>
      <c r="D26" s="3" t="s">
        <v>93</v>
      </c>
      <c r="E26" s="3" t="s">
        <v>99</v>
      </c>
      <c r="F26" s="3" t="s">
        <v>73</v>
      </c>
      <c r="G26" s="3" t="s">
        <v>100</v>
      </c>
    </row>
    <row r="27" spans="1:7" ht="36" customHeight="1" x14ac:dyDescent="0.4">
      <c r="A27" s="3" t="s">
        <v>101</v>
      </c>
      <c r="B27" s="3" t="s">
        <v>51</v>
      </c>
      <c r="C27" s="3" t="s">
        <v>70</v>
      </c>
      <c r="D27" s="3" t="s">
        <v>102</v>
      </c>
      <c r="E27" s="3" t="s">
        <v>103</v>
      </c>
      <c r="F27" s="3" t="s">
        <v>73</v>
      </c>
      <c r="G27" s="3" t="s">
        <v>434</v>
      </c>
    </row>
    <row r="28" spans="1:7" ht="36" customHeight="1" x14ac:dyDescent="0.4">
      <c r="A28" s="3" t="s">
        <v>104</v>
      </c>
      <c r="B28" s="3" t="s">
        <v>51</v>
      </c>
      <c r="C28" s="3" t="s">
        <v>70</v>
      </c>
      <c r="D28" s="3" t="s">
        <v>105</v>
      </c>
      <c r="E28" s="3" t="s">
        <v>106</v>
      </c>
      <c r="F28" s="3" t="s">
        <v>73</v>
      </c>
      <c r="G28" s="3" t="s">
        <v>107</v>
      </c>
    </row>
    <row r="29" spans="1:7" ht="36" customHeight="1" x14ac:dyDescent="0.4">
      <c r="A29" s="3" t="s">
        <v>108</v>
      </c>
      <c r="B29" s="3" t="s">
        <v>51</v>
      </c>
      <c r="C29" s="3" t="s">
        <v>64</v>
      </c>
      <c r="D29" s="3" t="s">
        <v>109</v>
      </c>
      <c r="E29" s="3" t="s">
        <v>110</v>
      </c>
      <c r="F29" s="3" t="s">
        <v>73</v>
      </c>
      <c r="G29" s="3" t="s">
        <v>111</v>
      </c>
    </row>
    <row r="30" spans="1:7" ht="36" customHeight="1" x14ac:dyDescent="0.4">
      <c r="A30" s="3" t="s">
        <v>112</v>
      </c>
      <c r="B30" s="3" t="s">
        <v>51</v>
      </c>
      <c r="C30" s="3" t="s">
        <v>64</v>
      </c>
      <c r="D30" s="3" t="s">
        <v>113</v>
      </c>
      <c r="E30" s="3" t="s">
        <v>114</v>
      </c>
      <c r="F30" s="3" t="s">
        <v>73</v>
      </c>
      <c r="G30" s="3" t="s">
        <v>111</v>
      </c>
    </row>
    <row r="31" spans="1:7" ht="36" customHeight="1" x14ac:dyDescent="0.4">
      <c r="A31" s="3" t="s">
        <v>115</v>
      </c>
      <c r="B31" s="3" t="s">
        <v>51</v>
      </c>
      <c r="C31" s="3" t="s">
        <v>64</v>
      </c>
      <c r="D31" s="3" t="s">
        <v>116</v>
      </c>
      <c r="E31" s="3" t="s">
        <v>117</v>
      </c>
      <c r="F31" s="3" t="s">
        <v>118</v>
      </c>
      <c r="G31" s="3" t="s">
        <v>435</v>
      </c>
    </row>
    <row r="32" spans="1:7" ht="36" customHeight="1" x14ac:dyDescent="0.4">
      <c r="A32" s="3" t="s">
        <v>119</v>
      </c>
      <c r="B32" s="3" t="s">
        <v>51</v>
      </c>
      <c r="C32" s="3" t="s">
        <v>70</v>
      </c>
      <c r="D32" s="3" t="s">
        <v>120</v>
      </c>
      <c r="E32" s="3" t="s">
        <v>121</v>
      </c>
      <c r="F32" s="3" t="s">
        <v>73</v>
      </c>
      <c r="G32" s="3" t="s">
        <v>436</v>
      </c>
    </row>
    <row r="33" spans="1:7" ht="36" customHeight="1" x14ac:dyDescent="0.4">
      <c r="A33" s="3" t="s">
        <v>122</v>
      </c>
      <c r="B33" s="3" t="s">
        <v>32</v>
      </c>
      <c r="C33" s="3" t="s">
        <v>2</v>
      </c>
      <c r="D33" s="3" t="s">
        <v>123</v>
      </c>
      <c r="E33" s="3" t="s">
        <v>124</v>
      </c>
      <c r="F33" s="3" t="s">
        <v>125</v>
      </c>
      <c r="G33" s="3" t="s">
        <v>126</v>
      </c>
    </row>
    <row r="34" spans="1:7" ht="36" customHeight="1" x14ac:dyDescent="0.4">
      <c r="A34" s="3" t="s">
        <v>127</v>
      </c>
      <c r="B34" s="3" t="s">
        <v>32</v>
      </c>
      <c r="C34" s="3" t="s">
        <v>64</v>
      </c>
      <c r="D34" s="3" t="s">
        <v>128</v>
      </c>
      <c r="E34" s="3" t="s">
        <v>129</v>
      </c>
      <c r="F34" s="3" t="s">
        <v>73</v>
      </c>
      <c r="G34" s="3" t="s">
        <v>126</v>
      </c>
    </row>
    <row r="36" spans="1:7" x14ac:dyDescent="0.4">
      <c r="A36" s="29" t="s">
        <v>437</v>
      </c>
      <c r="B36" s="29"/>
      <c r="C36" s="29"/>
      <c r="D36" s="29"/>
      <c r="E36" s="29"/>
      <c r="F36" s="29"/>
      <c r="G36" s="29"/>
    </row>
    <row r="37" spans="1:7" ht="37.950000000000003" customHeight="1" x14ac:dyDescent="0.4">
      <c r="A37" s="6" t="s">
        <v>85</v>
      </c>
      <c r="B37" s="6" t="s">
        <v>44</v>
      </c>
      <c r="C37" s="6" t="s">
        <v>45</v>
      </c>
      <c r="D37" s="6" t="s">
        <v>438</v>
      </c>
      <c r="E37" s="6" t="s">
        <v>439</v>
      </c>
      <c r="F37" s="6" t="s">
        <v>48</v>
      </c>
      <c r="G37" s="6" t="s">
        <v>49</v>
      </c>
    </row>
    <row r="38" spans="1:7" ht="36" customHeight="1" x14ac:dyDescent="0.4">
      <c r="A38" s="7" t="s">
        <v>440</v>
      </c>
      <c r="B38" s="7" t="s">
        <v>51</v>
      </c>
      <c r="C38" s="7" t="s">
        <v>164</v>
      </c>
      <c r="D38" s="7" t="s">
        <v>441</v>
      </c>
      <c r="E38" s="7" t="s">
        <v>442</v>
      </c>
      <c r="F38" s="7" t="s">
        <v>73</v>
      </c>
      <c r="G38" s="7" t="s">
        <v>443</v>
      </c>
    </row>
    <row r="39" spans="1:7" ht="36" customHeight="1" x14ac:dyDescent="0.4">
      <c r="A39" s="7" t="s">
        <v>444</v>
      </c>
      <c r="B39" s="7" t="s">
        <v>97</v>
      </c>
      <c r="C39" s="7" t="s">
        <v>98</v>
      </c>
      <c r="D39" s="7" t="s">
        <v>445</v>
      </c>
      <c r="E39" s="7" t="s">
        <v>446</v>
      </c>
      <c r="F39" s="7" t="s">
        <v>73</v>
      </c>
      <c r="G39" s="7" t="s">
        <v>447</v>
      </c>
    </row>
    <row r="40" spans="1:7" ht="36" customHeight="1" x14ac:dyDescent="0.4">
      <c r="A40" s="7" t="s">
        <v>448</v>
      </c>
      <c r="B40" s="7" t="s">
        <v>32</v>
      </c>
      <c r="C40" s="7" t="s">
        <v>3</v>
      </c>
      <c r="D40" s="7" t="s">
        <v>449</v>
      </c>
      <c r="E40" s="7" t="s">
        <v>450</v>
      </c>
      <c r="F40" s="7" t="s">
        <v>54</v>
      </c>
      <c r="G40" s="7" t="s">
        <v>451</v>
      </c>
    </row>
    <row r="41" spans="1:7" ht="36" customHeight="1" x14ac:dyDescent="0.4">
      <c r="A41" s="7" t="s">
        <v>452</v>
      </c>
      <c r="B41" s="7" t="s">
        <v>51</v>
      </c>
      <c r="C41" s="7" t="s">
        <v>3</v>
      </c>
      <c r="D41" s="7" t="s">
        <v>453</v>
      </c>
      <c r="E41" s="7" t="s">
        <v>454</v>
      </c>
      <c r="F41" s="7" t="s">
        <v>54</v>
      </c>
      <c r="G41" s="7" t="s">
        <v>455</v>
      </c>
    </row>
    <row r="43" spans="1:7" ht="25.95" customHeight="1" x14ac:dyDescent="0.4">
      <c r="A43" s="30" t="s">
        <v>456</v>
      </c>
      <c r="B43" s="31"/>
      <c r="C43" s="31"/>
      <c r="D43" s="31"/>
      <c r="E43" s="31"/>
      <c r="F43" s="31"/>
      <c r="G43" s="32"/>
    </row>
    <row r="44" spans="1:7" ht="25.95" customHeight="1" x14ac:dyDescent="0.4">
      <c r="A44" s="33" t="s">
        <v>457</v>
      </c>
      <c r="B44" s="34"/>
      <c r="C44" s="34"/>
      <c r="D44" s="34"/>
      <c r="E44" s="34"/>
      <c r="F44" s="34"/>
      <c r="G44" s="35"/>
    </row>
    <row r="45" spans="1:7" ht="25.95" customHeight="1" x14ac:dyDescent="0.4">
      <c r="A45" s="36" t="s">
        <v>458</v>
      </c>
      <c r="B45" s="37"/>
      <c r="C45" s="37"/>
      <c r="D45" s="37"/>
      <c r="E45" s="37"/>
      <c r="F45" s="37"/>
      <c r="G45" s="38"/>
    </row>
  </sheetData>
  <mergeCells count="9">
    <mergeCell ref="A36:G36"/>
    <mergeCell ref="A43:G43"/>
    <mergeCell ref="A44:G44"/>
    <mergeCell ref="A45:G45"/>
    <mergeCell ref="A1:G1"/>
    <mergeCell ref="A2:G2"/>
    <mergeCell ref="A4:G4"/>
    <mergeCell ref="A11:G11"/>
    <mergeCell ref="A22:G2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현황 요약</vt:lpstr>
      <vt:lpstr>개발 항목</vt:lpstr>
      <vt:lpstr>요구사항·UDA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영인 허</cp:lastModifiedBy>
  <dcterms:modified xsi:type="dcterms:W3CDTF">2026-07-22T07:37:10Z</dcterms:modified>
</cp:coreProperties>
</file>