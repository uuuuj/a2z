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현황 요약" sheetId="1" state="visible" r:id="rId1"/>
    <sheet xmlns:r="http://schemas.openxmlformats.org/officeDocument/2006/relationships" name="개발 항목" sheetId="2" state="visible" r:id="rId2"/>
    <sheet xmlns:r="http://schemas.openxmlformats.org/officeDocument/2006/relationships" name="요구사항·UDA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4">
    <font>
      <name val="맑은 고딕"/>
      <color theme="1"/>
      <sz val="11"/>
    </font>
    <font>
      <name val="Noto Sans KR"/>
      <color theme="1"/>
      <sz val="11"/>
    </font>
    <font>
      <name val="맑은 고딕"/>
      <b val="1"/>
      <color rgb="FFFFFFFF"/>
      <sz val="11"/>
    </font>
    <font>
      <name val="맑은 고딕"/>
      <b val="1"/>
      <color rgb="FF222222"/>
      <sz val="11"/>
    </font>
    <font>
      <name val="맑은 고딕"/>
      <b val="1"/>
      <color rgb="FF1F4E78"/>
      <sz val="11"/>
    </font>
    <font>
      <name val="맑은 고딕"/>
      <color rgb="FF222222"/>
      <sz val="11"/>
    </font>
    <font>
      <name val="맑은 고딕"/>
      <b val="1"/>
      <color theme="1"/>
      <sz val="11"/>
    </font>
    <font>
      <name val="맑은 고딕"/>
      <i val="1"/>
      <color theme="1"/>
      <sz val="11"/>
    </font>
    <font>
      <name val="맑은 고딕"/>
      <i val="1"/>
      <color rgb="FF595959"/>
      <sz val="11"/>
    </font>
    <font>
      <name val="돋움"/>
      <sz val="8"/>
    </font>
    <font>
      <name val="Noto Sans KR"/>
      <b val="1"/>
      <color rgb="FFFFFFFF"/>
      <sz val="11"/>
    </font>
    <font>
      <name val="Noto Sans KR"/>
      <i val="1"/>
      <color theme="1"/>
      <sz val="11"/>
    </font>
    <font>
      <name val="맑은 고딕"/>
      <b val="1"/>
      <color rgb="FF333333"/>
      <sz val="11"/>
    </font>
    <font>
      <name val="맑은 고딕"/>
      <color rgb="FF333333"/>
      <sz val="11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F3F6F8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7">
    <border/>
    <border>
      <left style="medium">
        <color rgb="FFA6A6A6"/>
      </left>
      <top style="medium">
        <color rgb="FFA6A6A6"/>
      </top>
      <bottom style="medium">
        <color rgb="FFA6A6A6"/>
      </bottom>
    </border>
    <border>
      <right style="medium">
        <color rgb="FFA6A6A6"/>
      </right>
      <top style="medium">
        <color rgb="FFA6A6A6"/>
      </top>
      <bottom style="medium">
        <color rgb="FFA6A6A6"/>
      </bottom>
    </border>
    <border>
      <left style="medium">
        <color rgb="FFA6A6A6"/>
      </left>
      <top style="medium">
        <color rgb="FFA6A6A6"/>
      </top>
    </border>
    <border>
      <right style="medium">
        <color rgb="FFA6A6A6"/>
      </right>
      <top style="medium">
        <color rgb="FFA6A6A6"/>
      </top>
    </border>
    <border>
      <left style="medium">
        <color rgb="FFA6A6A6"/>
      </left>
      <bottom style="medium">
        <color rgb="FFA6A6A6"/>
      </bottom>
    </border>
    <border>
      <right style="medium">
        <color rgb="FFA6A6A6"/>
      </right>
      <bottom style="medium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right style="thin">
        <color rgb="FFA6A6A6"/>
      </right>
      <top style="thin">
        <color rgb="FFA6A6A6"/>
      </top>
    </border>
    <border>
      <left style="thin">
        <color rgb="FFA6A6A6"/>
      </left>
    </border>
    <border>
      <right style="thin">
        <color rgb="FFA6A6A6"/>
      </right>
    </border>
    <border>
      <left style="thin">
        <color rgb="FFA6A6A6"/>
      </left>
      <bottom style="thin">
        <color rgb="FFA6A6A6"/>
      </bottom>
    </border>
    <border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</border>
    <border>
      <top style="medium">
        <color rgb="FFA6A6A6"/>
      </top>
    </border>
    <border>
      <left style="medium">
        <color rgb="FFA6A6A6"/>
      </left>
    </border>
    <border>
      <right style="medium">
        <color rgb="FFA6A6A6"/>
      </right>
    </border>
    <border>
      <left style="thin">
        <color rgb="FFA6A6A6"/>
      </left>
      <right style="thin">
        <color rgb="FFA6A6A6"/>
      </right>
      <top style="thin">
        <color rgb="FFA6A6A6"/>
      </top>
    </border>
    <border>
      <left style="thin">
        <color rgb="FFA6A6A6"/>
      </left>
      <right style="thin">
        <color rgb="FFA6A6A6"/>
      </right>
    </border>
    <border>
      <left style="thin">
        <color rgb="FFA6A6A6"/>
      </left>
      <right style="thin">
        <color rgb="FFA6A6A6"/>
      </right>
      <bottom style="thin">
        <color rgb="FFA6A6A6"/>
      </bottom>
    </border>
  </borders>
  <cellStyleXfs count="1">
    <xf numFmtId="0" fontId="0" fillId="0" borderId="0" applyAlignment="1">
      <alignment vertical="center"/>
    </xf>
  </cellStyleXfs>
  <cellXfs count="8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8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vertical="center" wrapText="1"/>
    </xf>
    <xf numFmtId="0" fontId="6" fillId="8" borderId="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 wrapText="1"/>
    </xf>
    <xf numFmtId="0" fontId="13" fillId="0" borderId="8" applyAlignment="1" pivotButton="0" quotePrefix="0" xfId="0">
      <alignment vertical="center" wrapText="1"/>
    </xf>
    <xf numFmtId="0" fontId="13" fillId="0" borderId="8" applyAlignment="1" pivotButton="0" quotePrefix="0" xfId="0">
      <alignment horizontal="center" vertical="center" wrapText="1"/>
    </xf>
    <xf numFmtId="164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" fontId="4" fillId="4" borderId="3" applyAlignment="1" pivotButton="0" quotePrefix="0" xfId="0">
      <alignment horizontal="center" vertical="center"/>
    </xf>
    <xf numFmtId="1" fontId="4" fillId="4" borderId="4" applyAlignment="1" pivotButton="0" quotePrefix="0" xfId="0">
      <alignment horizontal="center" vertical="center"/>
    </xf>
    <xf numFmtId="1" fontId="4" fillId="4" borderId="5" applyAlignment="1" pivotButton="0" quotePrefix="0" xfId="0">
      <alignment horizontal="center" vertical="center"/>
    </xf>
    <xf numFmtId="1" fontId="4" fillId="4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0" fillId="9" borderId="17" applyAlignment="1" pivotButton="0" quotePrefix="0" xfId="0">
      <alignment vertical="center" wrapText="1"/>
    </xf>
    <xf numFmtId="0" fontId="0" fillId="9" borderId="18" applyAlignment="1" pivotButton="0" quotePrefix="0" xfId="0">
      <alignment vertical="center" wrapText="1"/>
    </xf>
    <xf numFmtId="0" fontId="0" fillId="9" borderId="19" applyAlignment="1" pivotButton="0" quotePrefix="0" xfId="0">
      <alignment vertical="center" wrapText="1"/>
    </xf>
    <xf numFmtId="0" fontId="2" fillId="2" borderId="15" applyAlignment="1" pivotButton="0" quotePrefix="0" xfId="0">
      <alignment vertical="center"/>
    </xf>
    <xf numFmtId="0" fontId="10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11" fillId="3" borderId="0" applyAlignment="1" pivotButton="0" quotePrefix="0" xfId="0">
      <alignment horizontal="center" vertical="center"/>
    </xf>
    <xf numFmtId="0" fontId="1" fillId="9" borderId="0" applyAlignment="1" pivotButton="0" quotePrefix="0" xfId="0">
      <alignment vertical="center"/>
    </xf>
    <xf numFmtId="0" fontId="1" fillId="9" borderId="0" applyAlignment="1" pivotButton="0" quotePrefix="0" xfId="0">
      <alignment horizontal="center" vertical="center"/>
    </xf>
    <xf numFmtId="0" fontId="2" fillId="11" borderId="0" applyAlignment="1" pivotButton="0" quotePrefix="0" xfId="0">
      <alignment vertical="center"/>
    </xf>
    <xf numFmtId="0" fontId="8" fillId="12" borderId="9" applyAlignment="1" pivotButton="0" quotePrefix="0" xfId="0">
      <alignment vertical="center" wrapText="1"/>
    </xf>
    <xf numFmtId="0" fontId="8" fillId="12" borderId="10" applyAlignment="1" pivotButton="0" quotePrefix="0" xfId="0">
      <alignment vertical="center" wrapText="1"/>
    </xf>
    <xf numFmtId="0" fontId="8" fillId="12" borderId="11" applyAlignment="1" pivotButton="0" quotePrefix="0" xfId="0">
      <alignment vertical="center" wrapText="1"/>
    </xf>
    <xf numFmtId="0" fontId="8" fillId="12" borderId="12" applyAlignment="1" pivotButton="0" quotePrefix="0" xfId="0">
      <alignment vertical="center" wrapText="1"/>
    </xf>
    <xf numFmtId="0" fontId="8" fillId="12" borderId="0" applyAlignment="1" pivotButton="0" quotePrefix="0" xfId="0">
      <alignment vertical="center" wrapText="1"/>
    </xf>
    <xf numFmtId="0" fontId="8" fillId="12" borderId="13" applyAlignment="1" pivotButton="0" quotePrefix="0" xfId="0">
      <alignment vertical="center" wrapText="1"/>
    </xf>
    <xf numFmtId="0" fontId="8" fillId="12" borderId="14" applyAlignment="1" pivotButton="0" quotePrefix="0" xfId="0">
      <alignment vertical="center" wrapText="1"/>
    </xf>
    <xf numFmtId="0" fontId="8" fillId="12" borderId="15" applyAlignment="1" pivotButton="0" quotePrefix="0" xfId="0">
      <alignment vertical="center" wrapText="1"/>
    </xf>
    <xf numFmtId="0" fontId="8" fillId="12" borderId="16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164" fontId="13" fillId="0" borderId="0" applyAlignment="1" pivotButton="0" quotePrefix="0" xfId="0">
      <alignment horizontal="center" vertical="center" wrapText="1"/>
    </xf>
    <xf numFmtId="165" fontId="0" fillId="0" borderId="8" applyAlignment="1" pivotButton="0" quotePrefix="0" xfId="0">
      <alignment horizontal="center" vertical="center"/>
    </xf>
    <xf numFmtId="165" fontId="13" fillId="0" borderId="8" applyAlignment="1" pivotButton="0" quotePrefix="0" xfId="0">
      <alignment horizontal="center" vertical="center" wrapText="1"/>
    </xf>
    <xf numFmtId="165" fontId="1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3" borderId="20" applyAlignment="1" pivotButton="0" quotePrefix="0" xfId="0">
      <alignment horizontal="center" vertical="center"/>
    </xf>
    <xf numFmtId="0" fontId="0" fillId="0" borderId="2" pivotButton="0" quotePrefix="0" xfId="0"/>
    <xf numFmtId="0" fontId="3" fillId="5" borderId="20" applyAlignment="1" pivotButton="0" quotePrefix="0" xfId="0">
      <alignment horizontal="center" vertical="center"/>
    </xf>
    <xf numFmtId="0" fontId="3" fillId="6" borderId="20" applyAlignment="1" pivotButton="0" quotePrefix="0" xfId="0">
      <alignment horizontal="center" vertical="center"/>
    </xf>
    <xf numFmtId="0" fontId="3" fillId="7" borderId="20" applyAlignment="1" pivotButton="0" quotePrefix="0" xfId="0">
      <alignment horizontal="center" vertical="center"/>
    </xf>
    <xf numFmtId="1" fontId="4" fillId="4" borderId="2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5" pivotButton="0" quotePrefix="0" xfId="0"/>
    <xf numFmtId="165" fontId="13" fillId="0" borderId="8" applyAlignment="1" pivotButton="0" quotePrefix="0" xfId="0">
      <alignment horizontal="center" vertical="center" wrapText="1"/>
    </xf>
    <xf numFmtId="0" fontId="0" fillId="9" borderId="7" applyAlignment="1" pivotButton="0" quotePrefix="0" xfId="0">
      <alignment vertical="center" wrapText="1"/>
    </xf>
    <xf numFmtId="0" fontId="0" fillId="0" borderId="18" pivotButton="0" quotePrefix="0" xfId="0"/>
    <xf numFmtId="0" fontId="0" fillId="0" borderId="19" pivotButton="0" quotePrefix="0" xfId="0"/>
    <xf numFmtId="165" fontId="0" fillId="0" borderId="8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 wrapText="1"/>
    </xf>
    <xf numFmtId="0" fontId="8" fillId="12" borderId="24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8" fillId="12" borderId="25" applyAlignment="1" pivotButton="0" quotePrefix="0" xfId="0">
      <alignment vertical="center" wrapText="1"/>
    </xf>
    <xf numFmtId="0" fontId="0" fillId="0" borderId="13" pivotButton="0" quotePrefix="0" xfId="0"/>
    <xf numFmtId="0" fontId="8" fillId="12" borderId="26" applyAlignment="1" pivotButton="0" quotePrefix="0" xfId="0">
      <alignment vertical="center" wrapText="1"/>
    </xf>
    <xf numFmtId="0" fontId="0" fillId="0" borderId="16" pivotButton="0" quotePrefix="0" xfId="0"/>
  </cellXfs>
  <cellStyles count="1">
    <cellStyle name="표준" xfId="0"/>
  </cellStyles>
  <dxfs count="68">
    <dxf/>
    <dxf/>
    <dxf/>
    <dxf/>
    <dxf/>
    <dxf/>
    <dxf/>
    <dxf/>
    <dxf/>
    <dxf/>
    <dxf/>
    <dxf/>
    <dxf/>
    <dxf/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333333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22222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22222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333333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222222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b val="1"/>
        <color rgb="FF222222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b val="1"/>
        <color rgb="FF222222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>
          <bgColor rgb="FFE2F0D9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b val="1"/>
        <color rgb="FF222222"/>
      </font>
      <fill>
        <patternFill>
          <bgColor rgb="FFE7E6E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b val="1"/>
        <color rgb="FF9C0006"/>
      </font>
      <fill>
        <patternFill patternType="solid">
          <bgColor rgb="FFF8CBAD"/>
        </patternFill>
      </fill>
    </dxf>
    <dxf>
      <font>
        <b val="1"/>
        <color rgb="FF222222"/>
      </font>
      <fill>
        <patternFill patternType="solid">
          <bgColor rgb="FFE7E6E6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rawingDevelopmentStatus" displayName="DrawingDevelopmentStatus" ref="A5:Q90" headerRowCount="1" totalsRowCount="0" totalsRowShown="0">
  <autoFilter ref="A5:Q90"/>
  <tableColumns count="17">
    <tableColumn id="1" name="No."/>
    <tableColumn id="2" name="도면 종류"/>
    <tableColumn id="3" name="대분류"/>
    <tableColumn id="4" name="개발 항목"/>
    <tableColumn id="5" name="생산 필수"/>
    <tableColumn id="6" name="디자인 요소"/>
    <tableColumn id="7" name="API/코드 구현"/>
    <tableColumn id="8" name="생산 출력 확인"/>
    <tableColumn id="9" name="현재 상태"/>
    <tableColumn id="10" name="UDA·API / 현재 값"/>
    <tableColumn id="11" name="추가 API·앱 개발"/>
    <tableColumn id="12" name="추가 분석"/>
    <tableColumn id="13" name="출장 개발"/>
    <tableColumn id="14" name="최초 구현일"/>
    <tableColumn id="15" name="완료 확인일"/>
    <tableColumn id="16" name="최근 변경일"/>
    <tableColumn id="17" name="근거·비고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8"/>
  <cols>
    <col width="19.19921875" customWidth="1" style="1" min="1" max="1"/>
    <col width="6.796875" customWidth="1" style="1" min="2" max="2"/>
    <col width="35.69921875" customWidth="1" style="1" min="3" max="3"/>
    <col width="13.69921875" customWidth="1" style="1" min="4" max="4"/>
    <col width="20.19921875" customWidth="1" style="1" min="5" max="5"/>
    <col width="30.69921875" customWidth="1" style="1" min="6" max="6"/>
    <col width="17.59765625" customWidth="1" style="56" min="7" max="7"/>
    <col width="11.19921875" customWidth="1" style="56" min="8" max="8"/>
    <col width="8.796875" customWidth="1" style="1" min="9" max="16384"/>
  </cols>
  <sheetData>
    <row r="1" ht="34.04999923706055" customHeight="1" s="56">
      <c r="A1" s="12" t="inlineStr">
        <is>
          <t>2D 자동 제작도 개발 현황</t>
        </is>
      </c>
    </row>
    <row r="2">
      <c r="A2" s="13" t="inlineStr">
        <is>
          <t>기준일 2026-07-26 · 코드 구현과 실기/생산 검증을 분리해 판정 · 사내 실기 검증 3건 완료 반영</t>
        </is>
      </c>
    </row>
    <row r="3">
      <c r="A3" s="0" t="n"/>
      <c r="B3" s="0" t="n"/>
      <c r="C3" s="0" t="n"/>
      <c r="D3" s="0" t="n"/>
      <c r="E3" s="0" t="n"/>
      <c r="F3" s="0" t="n"/>
    </row>
    <row r="4">
      <c r="A4" s="57" t="inlineStr">
        <is>
          <t>전체 관리 항목</t>
        </is>
      </c>
      <c r="B4" s="58" t="n"/>
      <c r="C4" s="59" t="inlineStr">
        <is>
          <t>완료</t>
        </is>
      </c>
      <c r="D4" s="58" t="n"/>
      <c r="E4" s="60" t="inlineStr">
        <is>
          <t>실기 검증 대기</t>
        </is>
      </c>
      <c r="F4" s="58" t="n"/>
      <c r="G4" s="61" t="inlineStr">
        <is>
          <t>생산 필수 미확인</t>
        </is>
      </c>
      <c r="H4" s="58" t="n"/>
    </row>
    <row r="5">
      <c r="A5" s="62">
        <f>COUNTA('개발 항목'!$D$6:$D$90)</f>
        <v/>
      </c>
      <c r="B5" s="63" t="n"/>
      <c r="C5" s="62">
        <f>COUNTIF('개발 항목'!$I$6:$I$90,"완료")</f>
        <v/>
      </c>
      <c r="D5" s="63" t="n"/>
      <c r="E5" s="62">
        <f>COUNTIF('개발 항목'!$I$6:$I$90,"실기 검증 대기")</f>
        <v/>
      </c>
      <c r="F5" s="63" t="n"/>
      <c r="G5" s="62">
        <f>COUNTIFS('개발 항목'!$E$6:$E$90,"○",'개발 항목'!$H$6:$H$90,"&lt;&gt;O")</f>
        <v/>
      </c>
      <c r="H5" s="63" t="n"/>
    </row>
    <row r="6">
      <c r="A6" s="64" t="n"/>
      <c r="B6" s="65" t="n"/>
      <c r="C6" s="64" t="n"/>
      <c r="D6" s="65" t="n"/>
      <c r="E6" s="64" t="n"/>
      <c r="F6" s="65" t="n"/>
      <c r="G6" s="64" t="n"/>
      <c r="H6" s="65" t="n"/>
    </row>
    <row r="7">
      <c r="A7" s="0" t="n"/>
      <c r="B7" s="0" t="n"/>
      <c r="C7" s="0" t="n"/>
      <c r="D7" s="0" t="n"/>
      <c r="E7" s="0" t="n"/>
      <c r="F7" s="0" t="n"/>
    </row>
    <row r="8">
      <c r="A8" s="29" t="inlineStr">
        <is>
          <t>최우선 차단·실기 대기 항목</t>
        </is>
      </c>
      <c r="B8" s="66" t="n"/>
      <c r="C8" s="66" t="n"/>
      <c r="D8" s="66" t="n"/>
      <c r="E8" s="66" t="n"/>
      <c r="F8" s="66" t="n"/>
      <c r="G8" s="66" t="n"/>
      <c r="H8" s="66" t="n"/>
    </row>
    <row r="9" ht="18" customHeight="1" s="56">
      <c r="A9" s="6" t="inlineStr">
        <is>
          <t>우선</t>
        </is>
      </c>
      <c r="B9" s="6" t="inlineStr">
        <is>
          <t>도면</t>
        </is>
      </c>
      <c r="C9" s="6" t="inlineStr">
        <is>
          <t>항목</t>
        </is>
      </c>
      <c r="D9" s="6" t="inlineStr">
        <is>
          <t>상태</t>
        </is>
      </c>
      <c r="E9" s="6" t="inlineStr">
        <is>
          <t>생산 영향</t>
        </is>
      </c>
      <c r="F9" s="6" t="inlineStr">
        <is>
          <t>다음 조치</t>
        </is>
      </c>
      <c r="G9" s="6" t="inlineStr">
        <is>
          <t>확인 근거</t>
        </is>
      </c>
      <c r="H9" s="6" t="inlineStr">
        <is>
          <t>최근 변경</t>
        </is>
      </c>
    </row>
    <row r="10" ht="42" customHeight="1" s="56">
      <c r="A10" s="8" t="n">
        <v>1</v>
      </c>
      <c r="B10" s="7" t="inlineStr">
        <is>
          <t>공통</t>
        </is>
      </c>
      <c r="C10" s="7" t="inlineStr">
        <is>
          <t>2D 실선·은선·모서리·홀 표현 누락</t>
        </is>
      </c>
      <c r="D10" s="8" t="inlineStr">
        <is>
          <t>API 대기</t>
        </is>
      </c>
      <c r="E10" s="7" t="inlineStr">
        <is>
          <t>형상 누락</t>
        </is>
      </c>
      <c r="F10" s="7" t="inlineStr">
        <is>
          <t>API 수정 일정 재확인·수정본 검증</t>
        </is>
      </c>
      <c r="G10" s="7" t="inlineStr">
        <is>
          <t>2D 렌더</t>
        </is>
      </c>
      <c r="H10" s="67" t="n">
        <v>46226</v>
      </c>
    </row>
    <row r="11" ht="42" customHeight="1" s="56">
      <c r="A11" s="8" t="n">
        <v>2</v>
      </c>
      <c r="B11" s="7" t="inlineStr">
        <is>
          <t>가공도</t>
        </is>
      </c>
      <c r="C11" s="7" t="inlineStr">
        <is>
          <t>앵글 형강 촬영 방향 기준</t>
        </is>
      </c>
      <c r="D11" s="8" t="inlineStr">
        <is>
          <t>분석 필요</t>
        </is>
      </c>
      <c r="E11" s="7" t="inlineStr">
        <is>
          <t>면·치수 방향 오류</t>
        </is>
      </c>
      <c r="F11" s="7" t="inlineStr">
        <is>
          <t>두 뷰 기준면·열린 방향 규칙 확정</t>
        </is>
      </c>
      <c r="G11" s="7" t="inlineStr">
        <is>
          <t>카메라·미러 규칙</t>
        </is>
      </c>
      <c r="H11" s="67" t="n">
        <v>46227</v>
      </c>
    </row>
    <row r="12" ht="42" customHeight="1" s="56">
      <c r="A12" s="8" t="n">
        <v>3</v>
      </c>
      <c r="B12" s="7" t="inlineStr">
        <is>
          <t>제작도</t>
        </is>
      </c>
      <c r="C12" s="7" t="inlineStr">
        <is>
          <t>UserAxis 치수 문자 각도</t>
        </is>
      </c>
      <c r="D12" s="8" t="inlineStr">
        <is>
          <t>API 대기</t>
        </is>
      </c>
      <c r="E12" s="7" t="inlineStr">
        <is>
          <t>치수 가독성</t>
        </is>
      </c>
      <c r="F12" s="7" t="inlineStr">
        <is>
          <t>화면 수평 고정 또는 회전각 API 대기</t>
        </is>
      </c>
      <c r="G12" s="7" t="inlineStr">
        <is>
          <t>문자 각도만</t>
        </is>
      </c>
      <c r="H12" s="67" t="n">
        <v>46227</v>
      </c>
    </row>
    <row r="13" ht="42" customHeight="1" s="56">
      <c r="A13" s="8" t="n">
        <v>4</v>
      </c>
      <c r="B13" s="7" t="inlineStr">
        <is>
          <t>BOM</t>
        </is>
      </c>
      <c r="C13" s="7" t="inlineStr">
        <is>
          <t>Q'TY·MA·FA 실제 데이터</t>
        </is>
      </c>
      <c r="D13" s="8" t="inlineStr">
        <is>
          <t>개발 필요</t>
        </is>
      </c>
      <c r="E13" s="7" t="inlineStr">
        <is>
          <t>BOM 생산정보 오류</t>
        </is>
      </c>
      <c r="F13" s="7" t="inlineStr">
        <is>
          <t>UDA/집계 규칙 확정</t>
        </is>
      </c>
      <c r="G13" s="7" t="inlineStr">
        <is>
          <t>현재 임시값</t>
        </is>
      </c>
      <c r="H13" s="67" t="n">
        <v>46226</v>
      </c>
    </row>
    <row r="14" ht="42" customHeight="1" s="56">
      <c r="A14" s="8" t="n">
        <v>5</v>
      </c>
      <c r="B14" s="7" t="inlineStr">
        <is>
          <t>표제부</t>
        </is>
      </c>
      <c r="C14" s="7" t="inlineStr">
        <is>
          <t>DP No·Note·Rev 및 REV 괘선</t>
        </is>
      </c>
      <c r="D14" s="8" t="inlineStr">
        <is>
          <t>개발/API 대기</t>
        </is>
      </c>
      <c r="E14" s="7" t="inlineStr">
        <is>
          <t>생산/문서정보 누락</t>
        </is>
      </c>
      <c r="F14" s="7" t="inlineStr">
        <is>
          <t>데이터 모델·입력 UI·괘선 API 보강</t>
        </is>
      </c>
      <c r="G14" s="7" t="inlineStr">
        <is>
          <t>템플릿·입력 데이터</t>
        </is>
      </c>
      <c r="H14" s="67" t="n">
        <v>46227</v>
      </c>
    </row>
    <row r="15" ht="42" customHeight="1" s="56">
      <c r="A15" s="8" t="n">
        <v>6</v>
      </c>
      <c r="B15" s="7" t="inlineStr">
        <is>
          <t>최종</t>
        </is>
      </c>
      <c r="C15" s="7" t="inlineStr">
        <is>
          <t>제작·가공·설치도 최종 PDF와 설명 자료</t>
        </is>
      </c>
      <c r="D15" s="8" t="inlineStr">
        <is>
          <t>개발 중</t>
        </is>
      </c>
      <c r="E15" s="7" t="inlineStr">
        <is>
          <t>과제 완료 기준</t>
        </is>
      </c>
      <c r="F15" s="7" t="inlineStr">
        <is>
          <t>메뉴얼·룰북 및 3종 생산 PDF 생성</t>
        </is>
      </c>
      <c r="G15" s="7" t="inlineStr">
        <is>
          <t>도면·자료 산출물</t>
        </is>
      </c>
      <c r="H15" s="67" t="n">
        <v>46227</v>
      </c>
    </row>
    <row r="16" ht="42" customHeight="1" s="56">
      <c r="A16" s="8" t="n">
        <v>7</v>
      </c>
      <c r="B16" s="7" t="inlineStr">
        <is>
          <t>가공도</t>
        </is>
      </c>
      <c r="C16" s="7" t="inlineStr">
        <is>
          <t>모떼기·라운드 형상 검출·표시</t>
        </is>
      </c>
      <c r="D16" s="8" t="inlineStr">
        <is>
          <t>API 대기</t>
        </is>
      </c>
      <c r="E16" s="7" t="inlineStr">
        <is>
          <t>가공 형상정보 누락</t>
        </is>
      </c>
      <c r="F16" s="7" t="inlineStr">
        <is>
          <t>필터링 조건 정리와 8월 API 배포 대기</t>
        </is>
      </c>
      <c r="G16" s="7" t="inlineStr">
        <is>
          <t>형상 검출 API</t>
        </is>
      </c>
      <c r="H16" s="67" t="n">
        <v>46227</v>
      </c>
    </row>
    <row r="17" ht="42" customHeight="1" s="56">
      <c r="A17" s="0" t="n"/>
      <c r="B17" s="0" t="n"/>
      <c r="C17" s="0" t="n"/>
      <c r="D17" s="0" t="n"/>
      <c r="E17" s="0" t="n"/>
      <c r="F17" s="0" t="n"/>
    </row>
    <row r="18" ht="42" customHeight="1" s="56">
      <c r="A18" s="29" t="inlineStr">
        <is>
          <t>현재 판정에서 특히 주의할 점</t>
        </is>
      </c>
      <c r="B18" s="66" t="n"/>
      <c r="C18" s="66" t="n"/>
      <c r="D18" s="66" t="n"/>
      <c r="E18" s="66" t="n"/>
      <c r="F18" s="66" t="n"/>
      <c r="G18" s="66" t="n"/>
      <c r="H18" s="66" t="n"/>
    </row>
    <row r="19" ht="18" customHeight="1" s="56">
      <c r="A19" s="4" t="inlineStr">
        <is>
          <t>ISO3 / ISO_PLUS</t>
        </is>
      </c>
      <c r="B19" s="68" t="inlineStr">
        <is>
          <t>ISO3는 SDK의 CameraDirection.ISO_PLUS 뷰로 사용하면 됩니다.</t>
        </is>
      </c>
      <c r="C19" s="69" t="n"/>
      <c r="D19" s="69" t="n"/>
      <c r="E19" s="69" t="n"/>
      <c r="F19" s="69" t="n"/>
      <c r="G19" s="69" t="n"/>
      <c r="H19" s="70" t="n"/>
    </row>
    <row r="20" ht="18" customHeight="1" s="56">
      <c r="A20" s="4" t="inlineStr">
        <is>
          <t>BOM UDA</t>
        </is>
      </c>
      <c r="B20" s="68" t="inlineStr">
        <is>
          <t>SPREF가 없거나 비면 ITEM은 unset, 후속 빈 셀은 -로 표시합니다. Q'TY·MA·FA의 실제 데이터 규칙은 아직 미정입니다.</t>
        </is>
      </c>
      <c r="C20" s="69" t="n"/>
      <c r="D20" s="69" t="n"/>
      <c r="E20" s="69" t="n"/>
      <c r="F20" s="69" t="n"/>
      <c r="G20" s="69" t="n"/>
      <c r="H20" s="70" t="n"/>
    </row>
    <row r="21" ht="30" customHeight="1" s="56">
      <c r="A21" s="4" t="inlineStr">
        <is>
          <t>TAG / DP</t>
        </is>
      </c>
      <c r="B21" s="68" t="inlineStr">
        <is>
          <t>TAG는 STRU UDA 연결이 있으나 일부 시트 공백 가능. DP는 Test 고정값</t>
        </is>
      </c>
      <c r="C21" s="69" t="n"/>
      <c r="D21" s="69" t="n"/>
      <c r="E21" s="69" t="n"/>
      <c r="F21" s="69" t="n"/>
      <c r="G21" s="69" t="n"/>
      <c r="H21" s="70" t="n"/>
    </row>
    <row r="22" ht="30" customHeight="1" s="56">
      <c r="A22" s="4" t="inlineStr">
        <is>
          <t>Paint / Note / Rev</t>
        </is>
      </c>
      <c r="B22" s="68" t="inlineStr">
        <is>
          <t>Paint Code는 4종 도면에서 STRU UDA PNT를 Input 166에 연결했습니다. Note·Rev 입력 기능과 REV 첫 기재행 괘선 API는 남아 있습니다.</t>
        </is>
      </c>
      <c r="C22" s="69" t="n"/>
      <c r="D22" s="69" t="n"/>
      <c r="E22" s="69" t="n"/>
      <c r="F22" s="69" t="n"/>
      <c r="G22" s="69" t="n"/>
      <c r="H22" s="70" t="n"/>
    </row>
    <row r="23" ht="30" customHeight="1" s="56">
      <c r="A23" s="4" t="inlineStr">
        <is>
          <t>완료일</t>
        </is>
      </c>
      <c r="B23" s="68" t="inlineStr">
        <is>
          <t>코드·실기 확인 기록이 있는 경우만 기록합니다. 확인하기 어려운 초기 이력은 최초일로 사용하지 않습니다.</t>
        </is>
      </c>
      <c r="C23" s="69" t="n"/>
      <c r="D23" s="69" t="n"/>
      <c r="E23" s="69" t="n"/>
      <c r="F23" s="69" t="n"/>
      <c r="G23" s="69" t="n"/>
      <c r="H23" s="70" t="n"/>
    </row>
    <row r="24" ht="30" customHeight="1" s="56"/>
    <row r="25" ht="30" customHeight="1" s="56"/>
  </sheetData>
  <mergeCells count="17">
    <mergeCell ref="A4:B4"/>
    <mergeCell ref="B22:H22"/>
    <mergeCell ref="E4:F4"/>
    <mergeCell ref="G4:H4"/>
    <mergeCell ref="B23:H23"/>
    <mergeCell ref="A20:H20"/>
    <mergeCell ref="B21:H21"/>
    <mergeCell ref="A2:H2"/>
    <mergeCell ref="C5:D6"/>
    <mergeCell ref="B24:H24"/>
    <mergeCell ref="A5:B6"/>
    <mergeCell ref="E5:F6"/>
    <mergeCell ref="G5:H6"/>
    <mergeCell ref="B25:H25"/>
    <mergeCell ref="A1:H1"/>
    <mergeCell ref="A8:H8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0"/>
  <sheetViews>
    <sheetView showGridLines="0" workbookViewId="0">
      <selection activeCell="A1" sqref="A1"/>
    </sheetView>
  </sheetViews>
  <sheetFormatPr baseColWidth="8" defaultRowHeight="18"/>
  <cols>
    <col width="10.3984375" customWidth="1" style="5" min="1" max="1"/>
    <col width="17.796875" customWidth="1" style="5" min="2" max="2"/>
    <col width="13" customWidth="1" style="5" min="3" max="3"/>
    <col width="49.19921875" customWidth="1" style="5" min="4" max="4"/>
    <col width="13.69921875" customWidth="1" style="5" min="5" max="5"/>
    <col width="13.19921875" customWidth="1" style="5" min="6" max="6"/>
    <col width="15" customWidth="1" style="5" min="7" max="7"/>
    <col width="15.5" customWidth="1" style="56" min="8" max="8"/>
    <col width="15.5" customWidth="1" style="11" min="9" max="9"/>
    <col width="37" customWidth="1" style="5" min="10" max="10"/>
    <col width="17.19921875" customWidth="1" style="1" min="11" max="11"/>
    <col width="13.69921875" customWidth="1" style="11" min="12" max="13"/>
    <col width="15.5" customWidth="1" style="11" min="14" max="16"/>
    <col width="52.09765625" customWidth="1" style="5" min="17" max="17"/>
    <col width="45.5" customWidth="1" style="5" min="18" max="18"/>
    <col width="8.796875" customWidth="1" style="5" min="19" max="16384"/>
  </cols>
  <sheetData>
    <row r="1" ht="34.04999923706055" customHeight="1" s="56">
      <c r="A1" s="30" t="inlineStr">
        <is>
          <t>제작도·조립도·설치도·가공도 자동화 개발 항목</t>
        </is>
      </c>
    </row>
    <row r="2">
      <c r="A2" s="32" t="inlineStr">
        <is>
          <t>출장 개발 O와 개발 완료일을 분리했습니다. 코드가 있어도 실기/생산 검증이 안 됐으면 완료로 표시하지 않습니다.</t>
        </is>
      </c>
    </row>
    <row r="3">
      <c r="A3" s="34" t="inlineStr">
        <is>
          <t>필수: ○=생산 필수, △=조건부/문서정보, X=디자인·편의 · API/코드 구현: O/△/X · 생산 출력 확인: O/대기/X/해당없음</t>
        </is>
      </c>
    </row>
    <row r="5" ht="43.95000076293945" customHeight="1" s="56">
      <c r="A5" s="6" t="inlineStr">
        <is>
          <t>No.</t>
        </is>
      </c>
      <c r="B5" s="6" t="inlineStr">
        <is>
          <t>도면 종류</t>
        </is>
      </c>
      <c r="C5" s="6" t="inlineStr">
        <is>
          <t>대분류</t>
        </is>
      </c>
      <c r="D5" s="6" t="inlineStr">
        <is>
          <t>개발 항목</t>
        </is>
      </c>
      <c r="E5" s="6" t="inlineStr">
        <is>
          <t>생산 필수</t>
        </is>
      </c>
      <c r="F5" s="6" t="inlineStr">
        <is>
          <t>디자인 요소</t>
        </is>
      </c>
      <c r="G5" s="6" t="inlineStr">
        <is>
          <t>API/코드 구현</t>
        </is>
      </c>
      <c r="H5" s="6" t="inlineStr">
        <is>
          <t>생산 출력 확인</t>
        </is>
      </c>
      <c r="I5" s="6" t="inlineStr">
        <is>
          <t>현재 상태</t>
        </is>
      </c>
      <c r="J5" s="6" t="inlineStr">
        <is>
          <t>UDA·API / 현재 값</t>
        </is>
      </c>
      <c r="K5" s="6" t="inlineStr">
        <is>
          <t>추가 API·앱 개발</t>
        </is>
      </c>
      <c r="L5" s="6" t="inlineStr">
        <is>
          <t>추가 분석</t>
        </is>
      </c>
      <c r="M5" s="6" t="inlineStr">
        <is>
          <t>출장 개발</t>
        </is>
      </c>
      <c r="N5" s="6" t="inlineStr">
        <is>
          <t>최초 구현일</t>
        </is>
      </c>
      <c r="O5" s="6" t="inlineStr">
        <is>
          <t>완료 확인일</t>
        </is>
      </c>
      <c r="P5" s="6" t="inlineStr">
        <is>
          <t>최근 변경일</t>
        </is>
      </c>
      <c r="Q5" s="6" t="inlineStr">
        <is>
          <t>근거·비고</t>
        </is>
      </c>
      <c r="R5" s="0" t="n"/>
    </row>
    <row r="6" ht="42" customHeight="1" s="56">
      <c r="A6" s="48" t="n">
        <v>51</v>
      </c>
      <c r="B6" s="48" t="inlineStr">
        <is>
          <t>제작·조립</t>
        </is>
      </c>
      <c r="C6" s="48" t="inlineStr">
        <is>
          <t>치수</t>
        </is>
      </c>
      <c r="D6" s="10" t="inlineStr">
        <is>
          <t>치수 대각선 표시</t>
        </is>
      </c>
      <c r="E6" s="48" t="inlineStr">
        <is>
          <t>X</t>
        </is>
      </c>
      <c r="F6" s="48" t="inlineStr">
        <is>
          <t>X</t>
        </is>
      </c>
      <c r="G6" s="48" t="inlineStr">
        <is>
          <t>X</t>
        </is>
      </c>
      <c r="H6" s="48" t="inlineStr">
        <is>
          <t>해당없음</t>
        </is>
      </c>
      <c r="I6" s="48" t="inlineStr">
        <is>
          <t>적용 제외</t>
        </is>
      </c>
      <c r="J6" s="10" t="inlineStr">
        <is>
          <t>제작·조립도는 수평·수직 위치 치수를 유지</t>
        </is>
      </c>
      <c r="K6" s="48" t="inlineStr">
        <is>
          <t>없음</t>
        </is>
      </c>
      <c r="L6" s="48" t="inlineStr">
        <is>
          <t>X</t>
        </is>
      </c>
      <c r="M6" s="48" t="inlineStr">
        <is>
          <t>X</t>
        </is>
      </c>
      <c r="N6" s="71" t="n"/>
      <c r="O6" s="71" t="n">
        <v>46226</v>
      </c>
      <c r="P6" s="71" t="n">
        <v>46226</v>
      </c>
      <c r="Q6" s="10" t="inlineStr">
        <is>
          <t>생산 기준상 대각 선형 치수를 적용하지 않기로 결정하고 기존 위치 치수를 유지</t>
        </is>
      </c>
      <c r="R6" s="0" t="n"/>
    </row>
    <row r="7" ht="42" customHeight="1" s="56">
      <c r="A7" s="8" t="n">
        <v>4</v>
      </c>
      <c r="B7" s="8" t="inlineStr">
        <is>
          <t>가공도</t>
        </is>
      </c>
      <c r="C7" s="8" t="inlineStr">
        <is>
          <t>출력 흐름</t>
        </is>
      </c>
      <c r="D7" s="7" t="inlineStr">
        <is>
          <t>가공도 수동 PDF 출력</t>
        </is>
      </c>
      <c r="E7" s="8" t="inlineStr">
        <is>
          <t>○</t>
        </is>
      </c>
      <c r="F7" s="8" t="inlineStr">
        <is>
          <t>X</t>
        </is>
      </c>
      <c r="G7" s="8" t="inlineStr">
        <is>
          <t>O</t>
        </is>
      </c>
      <c r="H7" s="8" t="inlineStr">
        <is>
          <t>O</t>
        </is>
      </c>
      <c r="I7" s="8" t="inlineStr">
        <is>
          <t>완료</t>
        </is>
      </c>
      <c r="J7" s="7" t="inlineStr">
        <is>
          <t>가공도 템플릿 적용과 첫 2D 캡처 안정화</t>
        </is>
      </c>
      <c r="K7" s="8" t="inlineStr">
        <is>
          <t>없음</t>
        </is>
      </c>
      <c r="L7" s="8" t="inlineStr">
        <is>
          <t>X</t>
        </is>
      </c>
      <c r="M7" s="8" t="inlineStr">
        <is>
          <t>O</t>
        </is>
      </c>
      <c r="N7" s="67" t="n">
        <v>46168</v>
      </c>
      <c r="O7" s="67" t="n">
        <v>46226</v>
      </c>
      <c r="P7" s="67" t="n">
        <v>46226</v>
      </c>
      <c r="Q7" s="7" t="inlineStr">
        <is>
          <t>첫 2D 캡처 AccessViolation 해결 후 수동 PDF 출력 실기 확인 완료</t>
        </is>
      </c>
      <c r="R7" s="0" t="n"/>
    </row>
    <row r="8" ht="42" customHeight="1" s="56">
      <c r="A8" s="8" t="n">
        <v>7</v>
      </c>
      <c r="B8" s="8" t="inlineStr">
        <is>
          <t>공통</t>
        </is>
      </c>
      <c r="C8" s="8" t="inlineStr">
        <is>
          <t>성능</t>
        </is>
      </c>
      <c r="D8" s="7" t="inlineStr">
        <is>
          <t>도면 리스트 클릭 즉시 조회 캐시</t>
        </is>
      </c>
      <c r="E8" s="8" t="inlineStr">
        <is>
          <t>△</t>
        </is>
      </c>
      <c r="F8" s="8" t="inlineStr">
        <is>
          <t>X</t>
        </is>
      </c>
      <c r="G8" s="8" t="inlineStr">
        <is>
          <t>O</t>
        </is>
      </c>
      <c r="H8" s="8" t="inlineStr">
        <is>
          <t>O</t>
        </is>
      </c>
      <c r="I8" s="8" t="inlineStr">
        <is>
          <t>완료</t>
        </is>
      </c>
      <c r="J8" s="7" t="inlineStr">
        <is>
          <t>시트별 치수·BOM 사전 준비, Body→Part/UDA 캐시</t>
        </is>
      </c>
      <c r="K8" s="8" t="inlineStr">
        <is>
          <t>없음</t>
        </is>
      </c>
      <c r="L8" s="8" t="inlineStr">
        <is>
          <t>X</t>
        </is>
      </c>
      <c r="M8" s="8" t="inlineStr">
        <is>
          <t>O</t>
        </is>
      </c>
      <c r="N8" s="67" t="n">
        <v>46224</v>
      </c>
      <c r="O8" s="67" t="n">
        <v>46224</v>
      </c>
      <c r="P8" s="67" t="n">
        <v>46224</v>
      </c>
      <c r="Q8" s="7" t="inlineStr">
        <is>
          <t>8731 Body 모델에서 반복 재수집 제거</t>
        </is>
      </c>
      <c r="R8" s="0" t="n"/>
    </row>
    <row r="9" ht="42" customHeight="1" s="56">
      <c r="A9" s="8" t="n">
        <v>8</v>
      </c>
      <c r="B9" s="8" t="inlineStr">
        <is>
          <t>공통</t>
        </is>
      </c>
      <c r="C9" s="8" t="inlineStr">
        <is>
          <t>성능</t>
        </is>
      </c>
      <c r="D9" s="7" t="inlineStr">
        <is>
          <t>2D/가공도 출력 깜빡임 제거</t>
        </is>
      </c>
      <c r="E9" s="8" t="inlineStr">
        <is>
          <t>X</t>
        </is>
      </c>
      <c r="F9" s="8" t="inlineStr">
        <is>
          <t>○</t>
        </is>
      </c>
      <c r="G9" s="8" t="inlineStr">
        <is>
          <t>O</t>
        </is>
      </c>
      <c r="H9" s="8" t="inlineStr">
        <is>
          <t>O</t>
        </is>
      </c>
      <c r="I9" s="8" t="inlineStr">
        <is>
          <t>완료</t>
        </is>
      </c>
      <c r="J9" s="7" t="inlineStr">
        <is>
          <t>Clear2DView의 ViewMode 왕복 제거</t>
        </is>
      </c>
      <c r="K9" s="8" t="inlineStr">
        <is>
          <t>없음</t>
        </is>
      </c>
      <c r="L9" s="8" t="inlineStr">
        <is>
          <t>X</t>
        </is>
      </c>
      <c r="M9" s="8" t="inlineStr">
        <is>
          <t>O</t>
        </is>
      </c>
      <c r="N9" s="67" t="n">
        <v>46225</v>
      </c>
      <c r="O9" s="67" t="n">
        <v>46225</v>
      </c>
      <c r="P9" s="67" t="n">
        <v>46225</v>
      </c>
      <c r="Q9" s="7" t="inlineStr">
        <is>
          <t>페이지당 약 600ms 지연도 함께 제거</t>
        </is>
      </c>
      <c r="R9" s="0" t="n"/>
    </row>
    <row r="10" ht="42" customHeight="1" s="56">
      <c r="A10" s="8" t="n">
        <v>72</v>
      </c>
      <c r="B10" s="8" t="inlineStr">
        <is>
          <t>공통</t>
        </is>
      </c>
      <c r="C10" s="8" t="inlineStr">
        <is>
          <t>출력 UX</t>
        </is>
      </c>
      <c r="D10" s="7" t="inlineStr">
        <is>
          <t>2D 출력 미선택 시 전체 제작도 자동 선택</t>
        </is>
      </c>
      <c r="E10" s="8" t="inlineStr">
        <is>
          <t>X</t>
        </is>
      </c>
      <c r="F10" s="8" t="inlineStr">
        <is>
          <t>○</t>
        </is>
      </c>
      <c r="G10" s="8" t="inlineStr">
        <is>
          <t>O</t>
        </is>
      </c>
      <c r="H10" s="8" t="inlineStr">
        <is>
          <t>O</t>
        </is>
      </c>
      <c r="I10" s="8" t="inlineStr">
        <is>
          <t>완료</t>
        </is>
      </c>
      <c r="J10" s="7" t="inlineStr">
        <is>
          <t>BaseMemberIndex=-1 전체 제작도, 없으면 BOM 전체 임시 시트</t>
        </is>
      </c>
      <c r="K10" s="8" t="inlineStr">
        <is>
          <t>없음</t>
        </is>
      </c>
      <c r="L10" s="8" t="inlineStr">
        <is>
          <t>X</t>
        </is>
      </c>
      <c r="M10" s="8" t="inlineStr">
        <is>
          <t>X</t>
        </is>
      </c>
      <c r="N10" s="67" t="n">
        <v>46225</v>
      </c>
      <c r="O10" s="67" t="n">
        <v>46225</v>
      </c>
      <c r="P10" s="67" t="n">
        <v>46225</v>
      </c>
      <c r="Q10" s="7" t="inlineStr">
        <is>
          <t>시트 미선택 상태에서 전체 제작도를 기본 대상으로 출력하도록 구현·실기 확인 완료</t>
        </is>
      </c>
      <c r="R10" s="0" t="n"/>
    </row>
    <row r="11" ht="42" customHeight="1" s="56">
      <c r="A11" s="8" t="n">
        <v>9</v>
      </c>
      <c r="B11" s="8" t="inlineStr">
        <is>
          <t>제작·조립·설치</t>
        </is>
      </c>
      <c r="C11" s="8" t="inlineStr">
        <is>
          <t>뷰</t>
        </is>
      </c>
      <c r="D11" s="7" t="inlineStr">
        <is>
          <t>ISO3 뷰 사양 일치</t>
        </is>
      </c>
      <c r="E11" s="8" t="inlineStr">
        <is>
          <t>○</t>
        </is>
      </c>
      <c r="F11" s="8" t="inlineStr">
        <is>
          <t>X</t>
        </is>
      </c>
      <c r="G11" s="8" t="inlineStr">
        <is>
          <t>O</t>
        </is>
      </c>
      <c r="H11" s="8" t="inlineStr">
        <is>
          <t>O</t>
        </is>
      </c>
      <c r="I11" s="8" t="inlineStr">
        <is>
          <t>완료</t>
        </is>
      </c>
      <c r="J11" s="7" t="inlineStr">
        <is>
          <t>CameraDirection.ISO_PLUS (ISO3 확정)</t>
        </is>
      </c>
      <c r="K11" s="8" t="inlineStr">
        <is>
          <t>없음</t>
        </is>
      </c>
      <c r="L11" s="8" t="inlineStr">
        <is>
          <t>X</t>
        </is>
      </c>
      <c r="M11" s="8" t="inlineStr">
        <is>
          <t>X</t>
        </is>
      </c>
      <c r="N11" s="67" t="n">
        <v>46156</v>
      </c>
      <c r="O11" s="67" t="n">
        <v>46225</v>
      </c>
      <c r="P11" s="67" t="n">
        <v>46225</v>
      </c>
      <c r="Q11" s="7" t="inlineStr">
        <is>
          <t>ISO3는 ISO_PLUS 뷰로 사양 확정</t>
        </is>
      </c>
      <c r="R11" s="0" t="n"/>
    </row>
    <row r="12" ht="42" customHeight="1" s="56">
      <c r="A12" s="8" t="n">
        <v>15</v>
      </c>
      <c r="B12" s="8" t="inlineStr">
        <is>
          <t>조립도</t>
        </is>
      </c>
      <c r="C12" s="8" t="inlineStr">
        <is>
          <t>ISO 표현</t>
        </is>
      </c>
      <c r="D12" s="7" t="inlineStr">
        <is>
          <t>조립도 ISO BOM 부재 전체 실선 강조</t>
        </is>
      </c>
      <c r="E12" s="8" t="inlineStr">
        <is>
          <t>○</t>
        </is>
      </c>
      <c r="F12" s="8" t="inlineStr">
        <is>
          <t>X</t>
        </is>
      </c>
      <c r="G12" s="8" t="inlineStr">
        <is>
          <t>O</t>
        </is>
      </c>
      <c r="H12" s="8" t="inlineStr">
        <is>
          <t>O</t>
        </is>
      </c>
      <c r="I12" s="8" t="inlineStr">
        <is>
          <t>완료</t>
        </is>
      </c>
      <c r="J12" s="7" t="inlineStr">
        <is>
          <t>조립도 BOM 전체 부재를 ISO 실선 대상으로 포함</t>
        </is>
      </c>
      <c r="K12" s="8" t="inlineStr">
        <is>
          <t>없음</t>
        </is>
      </c>
      <c r="L12" s="8" t="inlineStr">
        <is>
          <t>X</t>
        </is>
      </c>
      <c r="M12" s="8" t="inlineStr">
        <is>
          <t>O</t>
        </is>
      </c>
      <c r="N12" s="67" t="n">
        <v>46224</v>
      </c>
      <c r="O12" s="67" t="n">
        <v>46226</v>
      </c>
      <c r="P12" s="67" t="n">
        <v>46226</v>
      </c>
      <c r="Q12" s="7" t="inlineStr">
        <is>
          <t>기준 부재뿐 아니라 BOM 전체 부재가 조립도 ISO에서 실선으로 표시됨</t>
        </is>
      </c>
      <c r="R12" s="0" t="n"/>
    </row>
    <row r="13" ht="42" customHeight="1" s="56">
      <c r="A13" s="8" t="n">
        <v>16</v>
      </c>
      <c r="B13" s="8" t="inlineStr">
        <is>
          <t>제작도</t>
        </is>
      </c>
      <c r="C13" s="8" t="inlineStr">
        <is>
          <t>ISO 표현</t>
        </is>
      </c>
      <c r="D13" s="7" t="inlineStr">
        <is>
          <t>연결 부재 점선 CropFit</t>
        </is>
      </c>
      <c r="E13" s="8" t="inlineStr">
        <is>
          <t>○</t>
        </is>
      </c>
      <c r="F13" s="8" t="inlineStr">
        <is>
          <t>X</t>
        </is>
      </c>
      <c r="G13" s="8" t="inlineStr">
        <is>
          <t>O</t>
        </is>
      </c>
      <c r="H13" s="8" t="inlineStr">
        <is>
          <t>O</t>
        </is>
      </c>
      <c r="I13" s="8" t="inlineStr">
        <is>
          <t>완료</t>
        </is>
      </c>
      <c r="J13" s="7" t="inlineStr">
        <is>
          <t>Clash 이웃 + CropFit2DViewObjectByNodeIDs</t>
        </is>
      </c>
      <c r="K13" s="8" t="inlineStr">
        <is>
          <t>없음</t>
        </is>
      </c>
      <c r="L13" s="8" t="inlineStr">
        <is>
          <t>X</t>
        </is>
      </c>
      <c r="M13" s="8" t="inlineStr">
        <is>
          <t>O</t>
        </is>
      </c>
      <c r="N13" s="67" t="n">
        <v>46224</v>
      </c>
      <c r="O13" s="67" t="n">
        <v>46225</v>
      </c>
      <c r="P13" s="67" t="n">
        <v>46225</v>
      </c>
      <c r="Q13" s="7" t="inlineStr">
        <is>
          <t>연결 부재 점선·Crop 범위·위치 정합을 실기 확인함</t>
        </is>
      </c>
      <c r="R13" s="0" t="n"/>
    </row>
    <row r="14" ht="42" customHeight="1" s="56">
      <c r="A14" s="8" t="n">
        <v>10</v>
      </c>
      <c r="B14" s="8" t="inlineStr">
        <is>
          <t>제작·조립·설치</t>
        </is>
      </c>
      <c r="C14" s="8" t="inlineStr">
        <is>
          <t>뷰</t>
        </is>
      </c>
      <c r="D14" s="7" t="inlineStr">
        <is>
          <t>ISO 뷰 모델 출력</t>
        </is>
      </c>
      <c r="E14" s="8" t="inlineStr">
        <is>
          <t>○</t>
        </is>
      </c>
      <c r="F14" s="8" t="inlineStr">
        <is>
          <t>X</t>
        </is>
      </c>
      <c r="G14" s="8" t="inlineStr">
        <is>
          <t>O</t>
        </is>
      </c>
      <c r="H14" s="8" t="inlineStr">
        <is>
          <t>O</t>
        </is>
      </c>
      <c r="I14" s="8" t="inlineStr">
        <is>
          <t>완료</t>
        </is>
      </c>
      <c r="J14" s="7" t="inlineStr">
        <is>
          <t>CameraDirection.ISO_PLUS</t>
        </is>
      </c>
      <c r="K14" s="8" t="inlineStr">
        <is>
          <t>없음</t>
        </is>
      </c>
      <c r="L14" s="8" t="inlineStr">
        <is>
          <t>X</t>
        </is>
      </c>
      <c r="M14" s="8" t="inlineStr">
        <is>
          <t>X</t>
        </is>
      </c>
      <c r="N14" s="67" t="n">
        <v>46156</v>
      </c>
      <c r="O14" s="67" t="n"/>
      <c r="P14" s="67" t="n">
        <v>46224</v>
      </c>
      <c r="Q14" s="7" t="inlineStr">
        <is>
          <t>뷰 자체는 구현; 일부 부재 선·홀 누락은 별도 항목</t>
        </is>
      </c>
      <c r="R14" s="0" t="n"/>
    </row>
    <row r="15" ht="42" customHeight="1" s="56">
      <c r="A15" s="8" t="n">
        <v>44</v>
      </c>
      <c r="B15" s="8" t="inlineStr">
        <is>
          <t>제작·조립·설치·가공</t>
        </is>
      </c>
      <c r="C15" s="8" t="inlineStr">
        <is>
          <t>표제부</t>
        </is>
      </c>
      <c r="D15" s="7" t="inlineStr">
        <is>
          <t>도면 종류 자동 표기</t>
        </is>
      </c>
      <c r="E15" s="8" t="inlineStr">
        <is>
          <t>△</t>
        </is>
      </c>
      <c r="F15" s="8" t="inlineStr">
        <is>
          <t>X</t>
        </is>
      </c>
      <c r="G15" s="8" t="inlineStr">
        <is>
          <t>O</t>
        </is>
      </c>
      <c r="H15" s="8" t="inlineStr">
        <is>
          <t>O</t>
        </is>
      </c>
      <c r="I15" s="8" t="inlineStr">
        <is>
          <t>완료</t>
        </is>
      </c>
      <c r="J15" s="7" t="inlineStr">
        <is>
          <t>GetSheetKindLabel</t>
        </is>
      </c>
      <c r="K15" s="8" t="inlineStr">
        <is>
          <t>없음</t>
        </is>
      </c>
      <c r="L15" s="8" t="inlineStr">
        <is>
          <t>X</t>
        </is>
      </c>
      <c r="M15" s="8" t="inlineStr">
        <is>
          <t>X</t>
        </is>
      </c>
      <c r="N15" s="67" t="n">
        <v>46155</v>
      </c>
      <c r="O15" s="67" t="n"/>
      <c r="P15" s="67" t="n">
        <v>46156</v>
      </c>
      <c r="Q15" s="7" t="inlineStr">
        <is>
          <t>제작도·조립도·설치도·가공도 라벨</t>
        </is>
      </c>
      <c r="R15" s="0" t="n"/>
    </row>
    <row r="16" ht="42" customHeight="1" s="56">
      <c r="A16" s="8" t="n">
        <v>45</v>
      </c>
      <c r="B16" s="8" t="inlineStr">
        <is>
          <t>제작·조립·설치·가공</t>
        </is>
      </c>
      <c r="C16" s="8" t="inlineStr">
        <is>
          <t>이미지</t>
        </is>
      </c>
      <c r="D16" s="7" t="inlineStr">
        <is>
          <t>회사 로고</t>
        </is>
      </c>
      <c r="E16" s="8" t="inlineStr">
        <is>
          <t>X</t>
        </is>
      </c>
      <c r="F16" s="8" t="inlineStr">
        <is>
          <t>○</t>
        </is>
      </c>
      <c r="G16" s="8" t="inlineStr">
        <is>
          <t>O</t>
        </is>
      </c>
      <c r="H16" s="8" t="inlineStr">
        <is>
          <t>O</t>
        </is>
      </c>
      <c r="I16" s="8" t="inlineStr">
        <is>
          <t>완료</t>
        </is>
      </c>
      <c r="J16" s="7" t="inlineStr">
        <is>
          <t>{Image_3} + Logo.png</t>
        </is>
      </c>
      <c r="K16" s="8" t="inlineStr">
        <is>
          <t>없음</t>
        </is>
      </c>
      <c r="L16" s="8" t="inlineStr">
        <is>
          <t>X</t>
        </is>
      </c>
      <c r="M16" s="8" t="inlineStr">
        <is>
          <t>O</t>
        </is>
      </c>
      <c r="N16" s="67" t="n">
        <v>46224</v>
      </c>
      <c r="O16" s="67" t="n">
        <v>46224</v>
      </c>
      <c r="P16" s="67" t="n">
        <v>46224</v>
      </c>
      <c r="Q16" s="7" t="inlineStr">
        <is>
          <t>현재 정적 파일 방식</t>
        </is>
      </c>
      <c r="R16" s="0" t="n"/>
    </row>
    <row r="17" ht="42" customHeight="1" s="56">
      <c r="A17" s="8" t="n">
        <v>47</v>
      </c>
      <c r="B17" s="8" t="inlineStr">
        <is>
          <t>제작·조립·설치·가공</t>
        </is>
      </c>
      <c r="C17" s="8" t="inlineStr">
        <is>
          <t>이미지</t>
        </is>
      </c>
      <c r="D17" s="7" t="inlineStr">
        <is>
          <t>다중 이미지 첨부</t>
        </is>
      </c>
      <c r="E17" s="8" t="inlineStr">
        <is>
          <t>X</t>
        </is>
      </c>
      <c r="F17" s="8" t="inlineStr">
        <is>
          <t>○</t>
        </is>
      </c>
      <c r="G17" s="8" t="inlineStr">
        <is>
          <t>O</t>
        </is>
      </c>
      <c r="H17" s="8" t="inlineStr">
        <is>
          <t>O</t>
        </is>
      </c>
      <c r="I17" s="8" t="inlineStr">
        <is>
          <t>완료</t>
        </is>
      </c>
      <c r="J17" s="7" t="inlineStr">
        <is>
          <t>ImportExcelWithData 3인자 imageMapping</t>
        </is>
      </c>
      <c r="K17" s="8" t="inlineStr">
        <is>
          <t>없음</t>
        </is>
      </c>
      <c r="L17" s="8" t="inlineStr">
        <is>
          <t>X</t>
        </is>
      </c>
      <c r="M17" s="8" t="inlineStr">
        <is>
          <t>O</t>
        </is>
      </c>
      <c r="N17" s="67" t="n">
        <v>46223</v>
      </c>
      <c r="O17" s="67" t="n">
        <v>46225</v>
      </c>
      <c r="P17" s="67" t="n">
        <v>46225</v>
      </c>
      <c r="Q17" s="7" t="inlineStr">
        <is>
          <t>기존 파일의 출장 개발 표시를 유지</t>
        </is>
      </c>
      <c r="R17" s="0" t="n"/>
    </row>
    <row r="18" ht="42" customHeight="1" s="56">
      <c r="A18" s="8" t="n">
        <v>48</v>
      </c>
      <c r="B18" s="8" t="inlineStr">
        <is>
          <t>제작·조립·설치·가공</t>
        </is>
      </c>
      <c r="C18" s="8" t="inlineStr">
        <is>
          <t>이미지</t>
        </is>
      </c>
      <c r="D18" s="7" t="inlineStr">
        <is>
          <t>North / ISO 방향 화살표</t>
        </is>
      </c>
      <c r="E18" s="8" t="inlineStr">
        <is>
          <t>X</t>
        </is>
      </c>
      <c r="F18" s="8" t="inlineStr">
        <is>
          <t>○</t>
        </is>
      </c>
      <c r="G18" s="8" t="inlineStr">
        <is>
          <t>O</t>
        </is>
      </c>
      <c r="H18" s="8" t="inlineStr">
        <is>
          <t>O</t>
        </is>
      </c>
      <c r="I18" s="8" t="inlineStr">
        <is>
          <t>완료</t>
        </is>
      </c>
      <c r="J18" s="7" t="inlineStr">
        <is>
          <t>{Image_1}/{Image_2}</t>
        </is>
      </c>
      <c r="K18" s="8" t="inlineStr">
        <is>
          <t>없음</t>
        </is>
      </c>
      <c r="L18" s="8" t="inlineStr">
        <is>
          <t>X</t>
        </is>
      </c>
      <c r="M18" s="8" t="inlineStr">
        <is>
          <t>X</t>
        </is>
      </c>
      <c r="N18" s="67" t="n">
        <v>46188</v>
      </c>
      <c r="O18" s="67" t="n"/>
      <c r="P18" s="67" t="n">
        <v>46223</v>
      </c>
      <c r="Q18" s="7" t="inlineStr">
        <is>
          <t>가공도에도 동일 적용</t>
        </is>
      </c>
      <c r="R18" s="0" t="n"/>
    </row>
    <row r="19" ht="42" customHeight="1" s="56">
      <c r="A19" s="8" t="n">
        <v>11</v>
      </c>
      <c r="B19" s="8" t="inlineStr">
        <is>
          <t>제작·조립·설치</t>
        </is>
      </c>
      <c r="C19" s="8" t="inlineStr">
        <is>
          <t>뷰</t>
        </is>
      </c>
      <c r="D19" s="7" t="inlineStr">
        <is>
          <t>평면도 모델 출력</t>
        </is>
      </c>
      <c r="E19" s="8" t="inlineStr">
        <is>
          <t>○</t>
        </is>
      </c>
      <c r="F19" s="8" t="inlineStr">
        <is>
          <t>X</t>
        </is>
      </c>
      <c r="G19" s="8" t="inlineStr">
        <is>
          <t>O</t>
        </is>
      </c>
      <c r="H19" s="8" t="inlineStr">
        <is>
          <t>O</t>
        </is>
      </c>
      <c r="I19" s="8" t="inlineStr">
        <is>
          <t>완료</t>
        </is>
      </c>
      <c r="J19" s="7" t="inlineStr">
        <is>
          <t>CameraDirection.Z_MINUS (-Z)</t>
        </is>
      </c>
      <c r="K19" s="8" t="inlineStr">
        <is>
          <t>없음</t>
        </is>
      </c>
      <c r="L19" s="8" t="inlineStr">
        <is>
          <t>X</t>
        </is>
      </c>
      <c r="M19" s="8" t="inlineStr">
        <is>
          <t>X</t>
        </is>
      </c>
      <c r="N19" s="67" t="n">
        <v>46156</v>
      </c>
      <c r="O19" s="67" t="n"/>
      <c r="P19" s="67" t="n">
        <v>46156</v>
      </c>
      <c r="Q19" s="7" t="inlineStr">
        <is>
          <t>사용자 요구 방향과 일치</t>
        </is>
      </c>
      <c r="R19" s="0" t="n"/>
    </row>
    <row r="20" ht="42" customHeight="1" s="56">
      <c r="A20" s="8" t="n">
        <v>12</v>
      </c>
      <c r="B20" s="8" t="inlineStr">
        <is>
          <t>제작·조립·설치</t>
        </is>
      </c>
      <c r="C20" s="8" t="inlineStr">
        <is>
          <t>뷰</t>
        </is>
      </c>
      <c r="D20" s="7" t="inlineStr">
        <is>
          <t>정면도 모델 출력</t>
        </is>
      </c>
      <c r="E20" s="8" t="inlineStr">
        <is>
          <t>○</t>
        </is>
      </c>
      <c r="F20" s="8" t="inlineStr">
        <is>
          <t>X</t>
        </is>
      </c>
      <c r="G20" s="8" t="inlineStr">
        <is>
          <t>O</t>
        </is>
      </c>
      <c r="H20" s="8" t="inlineStr">
        <is>
          <t>O</t>
        </is>
      </c>
      <c r="I20" s="8" t="inlineStr">
        <is>
          <t>완료</t>
        </is>
      </c>
      <c r="J20" s="7" t="inlineStr">
        <is>
          <t>CameraDirection.X_MINUS (-X)</t>
        </is>
      </c>
      <c r="K20" s="8" t="inlineStr">
        <is>
          <t>없음</t>
        </is>
      </c>
      <c r="L20" s="8" t="inlineStr">
        <is>
          <t>X</t>
        </is>
      </c>
      <c r="M20" s="8" t="inlineStr">
        <is>
          <t>X</t>
        </is>
      </c>
      <c r="N20" s="67" t="n">
        <v>46156</v>
      </c>
      <c r="O20" s="67" t="n"/>
      <c r="P20" s="67" t="n">
        <v>46156</v>
      </c>
      <c r="Q20" s="7" t="inlineStr">
        <is>
          <t>사용자 요구 방향과 일치</t>
        </is>
      </c>
      <c r="R20" s="0" t="n"/>
    </row>
    <row r="21" ht="42" customHeight="1" s="56">
      <c r="A21" s="8" t="n">
        <v>13</v>
      </c>
      <c r="B21" s="8" t="inlineStr">
        <is>
          <t>제작·조립·설치</t>
        </is>
      </c>
      <c r="C21" s="8" t="inlineStr">
        <is>
          <t>뷰</t>
        </is>
      </c>
      <c r="D21" s="7" t="inlineStr">
        <is>
          <t>측면도 모델 출력</t>
        </is>
      </c>
      <c r="E21" s="8" t="inlineStr">
        <is>
          <t>○</t>
        </is>
      </c>
      <c r="F21" s="8" t="inlineStr">
        <is>
          <t>X</t>
        </is>
      </c>
      <c r="G21" s="8" t="inlineStr">
        <is>
          <t>O</t>
        </is>
      </c>
      <c r="H21" s="8" t="inlineStr">
        <is>
          <t>O</t>
        </is>
      </c>
      <c r="I21" s="8" t="inlineStr">
        <is>
          <t>완료</t>
        </is>
      </c>
      <c r="J21" s="7" t="inlineStr">
        <is>
          <t>CameraDirection.Y_MINUS (-Y)</t>
        </is>
      </c>
      <c r="K21" s="8" t="inlineStr">
        <is>
          <t>없음</t>
        </is>
      </c>
      <c r="L21" s="8" t="inlineStr">
        <is>
          <t>X</t>
        </is>
      </c>
      <c r="M21" s="8" t="inlineStr">
        <is>
          <t>X</t>
        </is>
      </c>
      <c r="N21" s="67" t="n">
        <v>46156</v>
      </c>
      <c r="O21" s="67" t="n"/>
      <c r="P21" s="67" t="n">
        <v>46156</v>
      </c>
      <c r="Q21" s="7" t="inlineStr">
        <is>
          <t>사용자 요구 방향과 일치</t>
        </is>
      </c>
      <c r="R21" s="0" t="n"/>
    </row>
    <row r="22" ht="42" customHeight="1" s="56">
      <c r="A22" s="8" t="n">
        <v>19</v>
      </c>
      <c r="B22" s="8" t="inlineStr">
        <is>
          <t>제작·조립·설치</t>
        </is>
      </c>
      <c r="C22" s="8" t="inlineStr">
        <is>
          <t>ISO 표현</t>
        </is>
      </c>
      <c r="D22" s="7" t="inlineStr">
        <is>
          <t>BOM 번호와 ISO 풍선 번호 동기화</t>
        </is>
      </c>
      <c r="E22" s="8" t="inlineStr">
        <is>
          <t>○</t>
        </is>
      </c>
      <c r="F22" s="8" t="inlineStr">
        <is>
          <t>X</t>
        </is>
      </c>
      <c r="G22" s="8" t="inlineStr">
        <is>
          <t>O</t>
        </is>
      </c>
      <c r="H22" s="8" t="inlineStr">
        <is>
          <t>O</t>
        </is>
      </c>
      <c r="I22" s="8" t="inlineStr">
        <is>
          <t>완료</t>
        </is>
      </c>
      <c r="J22" s="7" t="inlineStr">
        <is>
          <t>BOM No 매핑 → CreateIsoBalloonNotes</t>
        </is>
      </c>
      <c r="K22" s="8" t="inlineStr">
        <is>
          <t>없음</t>
        </is>
      </c>
      <c r="L22" s="8" t="inlineStr">
        <is>
          <t>X</t>
        </is>
      </c>
      <c r="M22" s="8" t="inlineStr">
        <is>
          <t>X</t>
        </is>
      </c>
      <c r="N22" s="67" t="n">
        <v>46156</v>
      </c>
      <c r="O22" s="67" t="n"/>
      <c r="P22" s="67" t="n">
        <v>46156</v>
      </c>
      <c r="Q22" s="7" t="inlineStr">
        <is>
          <t>UDA가 아니라 앱이 생성한 BOM 순번 사용</t>
        </is>
      </c>
      <c r="R22" s="0" t="n"/>
    </row>
    <row r="23" ht="42" customHeight="1" s="56">
      <c r="A23" s="8" t="n">
        <v>22</v>
      </c>
      <c r="B23" s="8" t="inlineStr">
        <is>
          <t>제작·조립·설치·가공</t>
        </is>
      </c>
      <c r="C23" s="8" t="inlineStr">
        <is>
          <t>BOM</t>
        </is>
      </c>
      <c r="D23" s="7" t="inlineStr">
        <is>
          <t>BOM 테이블 출력</t>
        </is>
      </c>
      <c r="E23" s="8" t="inlineStr">
        <is>
          <t>○</t>
        </is>
      </c>
      <c r="F23" s="8" t="inlineStr">
        <is>
          <t>X</t>
        </is>
      </c>
      <c r="G23" s="8" t="inlineStr">
        <is>
          <t>O</t>
        </is>
      </c>
      <c r="H23" s="8" t="inlineStr">
        <is>
          <t>O</t>
        </is>
      </c>
      <c r="I23" s="8" t="inlineStr">
        <is>
          <t>완료</t>
        </is>
      </c>
      <c r="J23" s="7" t="inlineStr">
        <is>
          <t>Excel Input 태그 + lvDrawingBOMInfo</t>
        </is>
      </c>
      <c r="K23" s="8" t="inlineStr">
        <is>
          <t>없음</t>
        </is>
      </c>
      <c r="L23" s="8" t="inlineStr">
        <is>
          <t>X</t>
        </is>
      </c>
      <c r="M23" s="8" t="inlineStr">
        <is>
          <t>X</t>
        </is>
      </c>
      <c r="N23" s="67" t="n">
        <v>46125</v>
      </c>
      <c r="O23" s="67" t="n"/>
      <c r="P23" s="67" t="n">
        <v>46225</v>
      </c>
      <c r="Q23" s="7" t="inlineStr">
        <is>
          <t>8개 열 구조와 템플릿 출력 구현</t>
        </is>
      </c>
      <c r="R23" s="0" t="n"/>
    </row>
    <row r="24" ht="42" customHeight="1" s="56">
      <c r="A24" s="8" t="n">
        <v>23</v>
      </c>
      <c r="B24" s="8" t="inlineStr">
        <is>
          <t>제작·조립·설치·가공</t>
        </is>
      </c>
      <c r="C24" s="8" t="inlineStr">
        <is>
          <t>BOM</t>
        </is>
      </c>
      <c r="D24" s="7" t="inlineStr">
        <is>
          <t>번호</t>
        </is>
      </c>
      <c r="E24" s="8" t="inlineStr">
        <is>
          <t>○</t>
        </is>
      </c>
      <c r="F24" s="8" t="inlineStr">
        <is>
          <t>X</t>
        </is>
      </c>
      <c r="G24" s="8" t="inlineStr">
        <is>
          <t>O</t>
        </is>
      </c>
      <c r="H24" s="8" t="inlineStr">
        <is>
          <t>O</t>
        </is>
      </c>
      <c r="I24" s="8" t="inlineStr">
        <is>
          <t>완료</t>
        </is>
      </c>
      <c r="J24" s="7" t="inlineStr">
        <is>
          <t>앱이 Part/BOM 순번으로 생성 (UDA 아님)</t>
        </is>
      </c>
      <c r="K24" s="8" t="inlineStr">
        <is>
          <t>없음</t>
        </is>
      </c>
      <c r="L24" s="8" t="inlineStr">
        <is>
          <t>X</t>
        </is>
      </c>
      <c r="M24" s="8" t="inlineStr">
        <is>
          <t>X</t>
        </is>
      </c>
      <c r="N24" s="67" t="n">
        <v>46125</v>
      </c>
      <c r="O24" s="67" t="n"/>
      <c r="P24" s="67" t="n">
        <v>46156</v>
      </c>
      <c r="Q24" s="7" t="inlineStr">
        <is>
          <t>ISO 풍선과 동일 번호 사용</t>
        </is>
      </c>
      <c r="R24" s="0" t="n"/>
    </row>
    <row r="25" ht="42" customHeight="1" s="56">
      <c r="A25" s="8" t="n">
        <v>24</v>
      </c>
      <c r="B25" s="8" t="inlineStr">
        <is>
          <t>제작·조립·설치·가공</t>
        </is>
      </c>
      <c r="C25" s="8" t="inlineStr">
        <is>
          <t>BOM</t>
        </is>
      </c>
      <c r="D25" s="7" t="inlineStr">
        <is>
          <t>ITEM</t>
        </is>
      </c>
      <c r="E25" s="8" t="inlineStr">
        <is>
          <t>○</t>
        </is>
      </c>
      <c r="F25" s="8" t="inlineStr">
        <is>
          <t>X</t>
        </is>
      </c>
      <c r="G25" s="8" t="inlineStr">
        <is>
          <t>O</t>
        </is>
      </c>
      <c r="H25" s="8" t="inlineStr">
        <is>
          <t>O</t>
        </is>
      </c>
      <c r="I25" s="8" t="inlineStr">
        <is>
          <t>완료</t>
        </is>
      </c>
      <c r="J25" s="7" t="inlineStr">
        <is>
          <t>UDA SPREF 앞 구간; SPREF 없음·빈값은 unset</t>
        </is>
      </c>
      <c r="K25" s="8" t="inlineStr">
        <is>
          <t>없음</t>
        </is>
      </c>
      <c r="L25" s="8" t="inlineStr">
        <is>
          <t>X</t>
        </is>
      </c>
      <c r="M25" s="8" t="inlineStr">
        <is>
          <t>X</t>
        </is>
      </c>
      <c r="N25" s="67" t="n">
        <v>46125</v>
      </c>
      <c r="O25" s="67" t="n">
        <v>46226</v>
      </c>
      <c r="P25" s="67" t="n">
        <v>46226</v>
      </c>
      <c r="Q25" s="7" t="inlineStr">
        <is>
          <t>SPREF 미설정 시 ITEM은 unset, 후속 빈 데이터는 -로 표시하며 실기 확인 완료</t>
        </is>
      </c>
      <c r="R25" s="0" t="n"/>
    </row>
    <row r="26" ht="42" customHeight="1" s="56">
      <c r="A26" s="8" t="n">
        <v>25</v>
      </c>
      <c r="B26" s="8" t="inlineStr">
        <is>
          <t>제작·조립·설치·가공</t>
        </is>
      </c>
      <c r="C26" s="8" t="inlineStr">
        <is>
          <t>BOM</t>
        </is>
      </c>
      <c r="D26" s="7" t="inlineStr">
        <is>
          <t>MATERIAL</t>
        </is>
      </c>
      <c r="E26" s="8" t="inlineStr">
        <is>
          <t>○</t>
        </is>
      </c>
      <c r="F26" s="8" t="inlineStr">
        <is>
          <t>X</t>
        </is>
      </c>
      <c r="G26" s="8" t="inlineStr">
        <is>
          <t>O</t>
        </is>
      </c>
      <c r="H26" s="8" t="inlineStr">
        <is>
          <t>O</t>
        </is>
      </c>
      <c r="I26" s="8" t="inlineStr">
        <is>
          <t>완료</t>
        </is>
      </c>
      <c r="J26" s="7" t="inlineStr">
        <is>
          <t>UDA MATREF</t>
        </is>
      </c>
      <c r="K26" s="8" t="inlineStr">
        <is>
          <t>없음</t>
        </is>
      </c>
      <c r="L26" s="8" t="inlineStr">
        <is>
          <t>X</t>
        </is>
      </c>
      <c r="M26" s="8" t="inlineStr">
        <is>
          <t>X</t>
        </is>
      </c>
      <c r="N26" s="67" t="n">
        <v>46125</v>
      </c>
      <c r="O26" s="67" t="n"/>
      <c r="P26" s="67" t="n">
        <v>46155</v>
      </c>
      <c r="Q26" s="7" t="inlineStr">
        <is>
          <t>선행 / 제거</t>
        </is>
      </c>
      <c r="R26" s="0" t="n"/>
    </row>
    <row r="27" ht="42" customHeight="1" s="56">
      <c r="A27" s="8" t="n">
        <v>28</v>
      </c>
      <c r="B27" s="8" t="inlineStr">
        <is>
          <t>제작·조립·설치·가공</t>
        </is>
      </c>
      <c r="C27" s="8" t="inlineStr">
        <is>
          <t>BOM</t>
        </is>
      </c>
      <c r="D27" s="7" t="inlineStr">
        <is>
          <t>T/W</t>
        </is>
      </c>
      <c r="E27" s="8" t="inlineStr">
        <is>
          <t>○</t>
        </is>
      </c>
      <c r="F27" s="8" t="inlineStr">
        <is>
          <t>X</t>
        </is>
      </c>
      <c r="G27" s="8" t="inlineStr">
        <is>
          <t>O</t>
        </is>
      </c>
      <c r="H27" s="8" t="inlineStr">
        <is>
          <t>O</t>
        </is>
      </c>
      <c r="I27" s="8" t="inlineStr">
        <is>
          <t>완료</t>
        </is>
      </c>
      <c r="J27" s="7" t="inlineStr">
        <is>
          <t>UDA GWEI, 숫자 파싱·소수 2자리</t>
        </is>
      </c>
      <c r="K27" s="8" t="inlineStr">
        <is>
          <t>없음</t>
        </is>
      </c>
      <c r="L27" s="8" t="inlineStr">
        <is>
          <t>X</t>
        </is>
      </c>
      <c r="M27" s="8" t="inlineStr">
        <is>
          <t>X</t>
        </is>
      </c>
      <c r="N27" s="67" t="n">
        <v>46125</v>
      </c>
      <c r="O27" s="67" t="n"/>
      <c r="P27" s="67" t="n">
        <v>46224</v>
      </c>
      <c r="Q27" s="7" t="inlineStr">
        <is>
          <t>요약행은 개별 중량 합계</t>
        </is>
      </c>
      <c r="R27" s="0" t="n"/>
    </row>
    <row r="28" ht="42" customHeight="1" s="56">
      <c r="A28" s="8" t="n">
        <v>31</v>
      </c>
      <c r="B28" s="8" t="inlineStr">
        <is>
          <t>제작도</t>
        </is>
      </c>
      <c r="C28" s="8" t="inlineStr">
        <is>
          <t>BOM</t>
        </is>
      </c>
      <c r="D28" s="7" t="inlineStr">
        <is>
          <t>BOM 25행 확장</t>
        </is>
      </c>
      <c r="E28" s="8" t="inlineStr">
        <is>
          <t>○</t>
        </is>
      </c>
      <c r="F28" s="8" t="inlineStr">
        <is>
          <t>X</t>
        </is>
      </c>
      <c r="G28" s="8" t="inlineStr">
        <is>
          <t>O</t>
        </is>
      </c>
      <c r="H28" s="8" t="inlineStr">
        <is>
          <t>O</t>
        </is>
      </c>
      <c r="I28" s="8" t="inlineStr">
        <is>
          <t>완료</t>
        </is>
      </c>
      <c r="J28" s="7" t="inlineStr">
        <is>
          <t>Input 1~20행=4~163, 21~25행=201~240</t>
        </is>
      </c>
      <c r="K28" s="8" t="inlineStr">
        <is>
          <t>없음</t>
        </is>
      </c>
      <c r="L28" s="8" t="inlineStr">
        <is>
          <t>X</t>
        </is>
      </c>
      <c r="M28" s="8" t="inlineStr">
        <is>
          <t>O</t>
        </is>
      </c>
      <c r="N28" s="67" t="n">
        <v>46225</v>
      </c>
      <c r="O28" s="67" t="n">
        <v>46225</v>
      </c>
      <c r="P28" s="67" t="n">
        <v>46225</v>
      </c>
      <c r="Q28" s="7" t="inlineStr">
        <is>
          <t>Input 240까지 제작도 실기 렌더 확인</t>
        </is>
      </c>
      <c r="R28" s="0" t="n"/>
    </row>
    <row r="29" ht="42" customHeight="1" s="56">
      <c r="A29" s="8" t="n">
        <v>49</v>
      </c>
      <c r="B29" s="8" t="inlineStr">
        <is>
          <t>제작·조립</t>
        </is>
      </c>
      <c r="C29" s="8" t="inlineStr">
        <is>
          <t>치수</t>
        </is>
      </c>
      <c r="D29" s="7" t="inlineStr">
        <is>
          <t>평면·정면·측면 기본/체인 치수</t>
        </is>
      </c>
      <c r="E29" s="8" t="inlineStr">
        <is>
          <t>○</t>
        </is>
      </c>
      <c r="F29" s="8" t="inlineStr">
        <is>
          <t>X</t>
        </is>
      </c>
      <c r="G29" s="8" t="inlineStr">
        <is>
          <t>O</t>
        </is>
      </c>
      <c r="H29" s="8" t="inlineStr">
        <is>
          <t>O</t>
        </is>
      </c>
      <c r="I29" s="8" t="inlineStr">
        <is>
          <t>완료</t>
        </is>
      </c>
      <c r="J29" s="7" t="inlineStr">
        <is>
          <t>Osnap 기반 ShowAllDimensions</t>
        </is>
      </c>
      <c r="K29" s="8" t="inlineStr">
        <is>
          <t>없음</t>
        </is>
      </c>
      <c r="L29" s="8" t="inlineStr">
        <is>
          <t>X</t>
        </is>
      </c>
      <c r="M29" s="8" t="inlineStr">
        <is>
          <t>X</t>
        </is>
      </c>
      <c r="N29" s="67" t="n">
        <v>46134</v>
      </c>
      <c r="O29" s="67" t="n">
        <v>46224</v>
      </c>
      <c r="P29" s="67" t="n">
        <v>46224</v>
      </c>
      <c r="Q29" s="7" t="inlineStr">
        <is>
          <t>외곽 배치·보조선 기준 실기 확인 완료</t>
        </is>
      </c>
      <c r="R29" s="0" t="n"/>
    </row>
    <row r="30" ht="42" customHeight="1" s="56">
      <c r="A30" s="8" t="n">
        <v>50</v>
      </c>
      <c r="B30" s="8" t="inlineStr">
        <is>
          <t>제작·가공</t>
        </is>
      </c>
      <c r="C30" s="8" t="inlineStr">
        <is>
          <t>치수</t>
        </is>
      </c>
      <c r="D30" s="7" t="inlineStr">
        <is>
          <t>보조선 종이 절대 길이·간격</t>
        </is>
      </c>
      <c r="E30" s="8" t="inlineStr">
        <is>
          <t>○</t>
        </is>
      </c>
      <c r="F30" s="8" t="inlineStr">
        <is>
          <t>X</t>
        </is>
      </c>
      <c r="G30" s="8" t="inlineStr">
        <is>
          <t>O</t>
        </is>
      </c>
      <c r="H30" s="8" t="inlineStr">
        <is>
          <t>O</t>
        </is>
      </c>
      <c r="I30" s="8" t="inlineStr">
        <is>
          <t>완료</t>
        </is>
      </c>
      <c r="J30" s="7" t="inlineStr">
        <is>
          <t>제작 7.5/15mm, 가공 9/18mm, gap 2mm</t>
        </is>
      </c>
      <c r="K30" s="8" t="inlineStr">
        <is>
          <t>없음</t>
        </is>
      </c>
      <c r="L30" s="8" t="inlineStr">
        <is>
          <t>X</t>
        </is>
      </c>
      <c r="M30" s="8" t="inlineStr">
        <is>
          <t>X</t>
        </is>
      </c>
      <c r="N30" s="67" t="n">
        <v>46206</v>
      </c>
      <c r="O30" s="67" t="n">
        <v>46224</v>
      </c>
      <c r="P30" s="67" t="n">
        <v>46224</v>
      </c>
      <c r="Q30" s="7" t="inlineStr">
        <is>
          <t>모델 크기와 무관한 종이 기준</t>
        </is>
      </c>
      <c r="R30" s="0" t="n"/>
    </row>
    <row r="31" ht="42" customHeight="1" s="56">
      <c r="A31" s="8" t="n">
        <v>65</v>
      </c>
      <c r="B31" s="8" t="inlineStr">
        <is>
          <t>공통</t>
        </is>
      </c>
      <c r="C31" s="8" t="inlineStr">
        <is>
          <t>템플릿</t>
        </is>
      </c>
      <c r="D31" s="7" t="inlineStr">
        <is>
          <t>템플릿 사전 변환</t>
        </is>
      </c>
      <c r="E31" s="8" t="inlineStr">
        <is>
          <t>X</t>
        </is>
      </c>
      <c r="F31" s="8" t="inlineStr">
        <is>
          <t>X</t>
        </is>
      </c>
      <c r="G31" s="8" t="inlineStr">
        <is>
          <t>O</t>
        </is>
      </c>
      <c r="H31" s="8" t="inlineStr">
        <is>
          <t>해당없음</t>
        </is>
      </c>
      <c r="I31" s="8" t="inlineStr">
        <is>
          <t>완료</t>
        </is>
      </c>
      <c r="J31" s="7" t="inlineStr">
        <is>
          <t>JSON 사전변환은 폐기, 소형 Excel 직접 Import로 확정</t>
        </is>
      </c>
      <c r="K31" s="8" t="inlineStr">
        <is>
          <t>없음</t>
        </is>
      </c>
      <c r="L31" s="8" t="inlineStr">
        <is>
          <t>X</t>
        </is>
      </c>
      <c r="M31" s="8" t="inlineStr">
        <is>
          <t>X</t>
        </is>
      </c>
      <c r="N31" s="67" t="n">
        <v>46215</v>
      </c>
      <c r="O31" s="67" t="n">
        <v>46222</v>
      </c>
      <c r="P31" s="67" t="n">
        <v>46222</v>
      </c>
      <c r="Q31" s="7" t="inlineStr">
        <is>
          <t>동적 BOM에서는 사전변환 부적합이라는 기술 결론</t>
        </is>
      </c>
      <c r="R31" s="0" t="n"/>
    </row>
    <row r="32" ht="42" customHeight="1" s="56">
      <c r="A32" s="8" t="n">
        <v>66</v>
      </c>
      <c r="B32" s="8" t="inlineStr">
        <is>
          <t>공통</t>
        </is>
      </c>
      <c r="C32" s="8" t="inlineStr">
        <is>
          <t>자동화 UX</t>
        </is>
      </c>
      <c r="D32" s="7" t="inlineStr">
        <is>
          <t>간섭검사 진행창 숨기기</t>
        </is>
      </c>
      <c r="E32" s="8" t="inlineStr">
        <is>
          <t>X</t>
        </is>
      </c>
      <c r="F32" s="8" t="inlineStr">
        <is>
          <t>○</t>
        </is>
      </c>
      <c r="G32" s="8" t="inlineStr">
        <is>
          <t>O</t>
        </is>
      </c>
      <c r="H32" s="8" t="inlineStr">
        <is>
          <t>O</t>
        </is>
      </c>
      <c r="I32" s="8" t="inlineStr">
        <is>
          <t>완료</t>
        </is>
      </c>
      <c r="J32" s="7" t="inlineStr">
        <is>
          <t>검사 ID별 progressForm=false 직렬 실행</t>
        </is>
      </c>
      <c r="K32" s="8" t="inlineStr">
        <is>
          <t>없음</t>
        </is>
      </c>
      <c r="L32" s="8" t="inlineStr">
        <is>
          <t>X</t>
        </is>
      </c>
      <c r="M32" s="8" t="inlineStr">
        <is>
          <t>O</t>
        </is>
      </c>
      <c r="N32" s="67" t="n">
        <v>46225</v>
      </c>
      <c r="O32" s="67" t="n">
        <v>46225</v>
      </c>
      <c r="P32" s="67" t="n">
        <v>46225</v>
      </c>
      <c r="Q32" s="7" t="inlineStr">
        <is>
          <t>진행창 숨김·후속 검사 전환·마지막 도면 리스트 생성을 실기 확인함</t>
        </is>
      </c>
      <c r="R32" s="0" t="n"/>
    </row>
    <row r="33" ht="42" customHeight="1" s="56">
      <c r="A33" s="8" t="n">
        <v>68</v>
      </c>
      <c r="B33" s="8" t="inlineStr">
        <is>
          <t>제작·조립·설치</t>
        </is>
      </c>
      <c r="C33" s="8" t="inlineStr">
        <is>
          <t>3D 미리보기</t>
        </is>
      </c>
      <c r="D33" s="7" t="inlineStr">
        <is>
          <t>ISO 전환 시 이전 X/Y/Z 치수·보조선 정리</t>
        </is>
      </c>
      <c r="E33" s="8" t="inlineStr">
        <is>
          <t>X</t>
        </is>
      </c>
      <c r="F33" s="8" t="inlineStr">
        <is>
          <t>○</t>
        </is>
      </c>
      <c r="G33" s="8" t="inlineStr">
        <is>
          <t>O</t>
        </is>
      </c>
      <c r="H33" s="8" t="inlineStr">
        <is>
          <t>O</t>
        </is>
      </c>
      <c r="I33" s="8" t="inlineStr">
        <is>
          <t>완료</t>
        </is>
      </c>
      <c r="J33" s="7" t="inlineStr">
        <is>
          <t>ISO/X/Y/Z 진입 전에 Review.Measure·ShapeDrawing 정리</t>
        </is>
      </c>
      <c r="K33" s="8" t="inlineStr">
        <is>
          <t>없음</t>
        </is>
      </c>
      <c r="L33" s="8" t="inlineStr">
        <is>
          <t>X</t>
        </is>
      </c>
      <c r="M33" s="8" t="inlineStr">
        <is>
          <t>O</t>
        </is>
      </c>
      <c r="N33" s="67" t="n">
        <v>46225</v>
      </c>
      <c r="O33" s="67" t="n">
        <v>46225</v>
      </c>
      <c r="P33" s="67" t="n">
        <v>46225</v>
      </c>
      <c r="Q33" s="7" t="inlineStr">
        <is>
          <t>X/Y/Z 치수 표시 후 ISO 진입 시 잔류 치수 없이 풍선만 표시됨을 사내 실기 확인</t>
        </is>
      </c>
      <c r="R33" s="0" t="n"/>
    </row>
    <row r="34" ht="42" customHeight="1" s="56">
      <c r="A34" s="48" t="n">
        <v>69</v>
      </c>
      <c r="B34" s="48" t="inlineStr">
        <is>
          <t>제작·조립·설치</t>
        </is>
      </c>
      <c r="C34" s="48" t="inlineStr">
        <is>
          <t>출력 후 정리</t>
        </is>
      </c>
      <c r="D34" s="10" t="inlineStr">
        <is>
          <t>2D 출력 후 3D 임시 치수·보조선 정리</t>
        </is>
      </c>
      <c r="E34" s="48" t="inlineStr">
        <is>
          <t>○</t>
        </is>
      </c>
      <c r="F34" s="48" t="inlineStr">
        <is>
          <t>X</t>
        </is>
      </c>
      <c r="G34" s="48" t="inlineStr">
        <is>
          <t>O</t>
        </is>
      </c>
      <c r="H34" s="48" t="inlineStr">
        <is>
          <t>O</t>
        </is>
      </c>
      <c r="I34" s="48" t="inlineStr">
        <is>
          <t>완료</t>
        </is>
      </c>
      <c r="J34" s="10" t="inlineStr">
        <is>
          <t>공통 출력 wrapper의 finally에서 3D Measure·ShapeDrawing 정리</t>
        </is>
      </c>
      <c r="K34" s="48" t="inlineStr">
        <is>
          <t>없음</t>
        </is>
      </c>
      <c r="L34" s="48" t="inlineStr">
        <is>
          <t>X</t>
        </is>
      </c>
      <c r="M34" s="48" t="inlineStr">
        <is>
          <t>O</t>
        </is>
      </c>
      <c r="N34" s="71" t="n">
        <v>46225</v>
      </c>
      <c r="O34" s="71" t="n">
        <v>46225</v>
      </c>
      <c r="P34" s="71" t="n">
        <v>46225</v>
      </c>
      <c r="Q34" s="10" t="inlineStr">
        <is>
          <t>출력 직후 3D 잔류 치수 없음, 2D 치수 유지, 연속 모델·시트 이월 없음 실기 확인</t>
        </is>
      </c>
      <c r="R34" s="0" t="n"/>
    </row>
    <row r="35" ht="42" customHeight="1" s="56">
      <c r="A35" s="8" t="n">
        <v>18</v>
      </c>
      <c r="B35" s="8" t="inlineStr">
        <is>
          <t>제작·설치</t>
        </is>
      </c>
      <c r="C35" s="8" t="inlineStr">
        <is>
          <t>ISO 표현</t>
        </is>
      </c>
      <c r="D35" s="7" t="inlineStr">
        <is>
          <t>연결부재 STRU 이름 표시</t>
        </is>
      </c>
      <c r="E35" s="8" t="inlineStr">
        <is>
          <t>○</t>
        </is>
      </c>
      <c r="F35" s="8" t="inlineStr">
        <is>
          <t>X</t>
        </is>
      </c>
      <c r="G35" s="8" t="inlineStr">
        <is>
          <t>O</t>
        </is>
      </c>
      <c r="H35" s="8" t="inlineStr">
        <is>
          <t>O</t>
        </is>
      </c>
      <c r="I35" s="8" t="inlineStr">
        <is>
          <t>완료</t>
        </is>
      </c>
      <c r="J35" s="7" t="inlineStr">
        <is>
          <t>연결부재 이름을 STRU 레벨에서만 조회해 표시</t>
        </is>
      </c>
      <c r="K35" s="8" t="inlineStr">
        <is>
          <t>없음</t>
        </is>
      </c>
      <c r="L35" s="8" t="inlineStr">
        <is>
          <t>X</t>
        </is>
      </c>
      <c r="M35" s="8" t="inlineStr">
        <is>
          <t>O</t>
        </is>
      </c>
      <c r="N35" s="67" t="n">
        <v>46224</v>
      </c>
      <c r="O35" s="67" t="n">
        <v>46226</v>
      </c>
      <c r="P35" s="67" t="n">
        <v>46226</v>
      </c>
      <c r="Q35" s="7" t="inlineStr">
        <is>
          <t>하위 Part 이름 혼입을 막고 STRU 이름이 없을 때의 대체 표시까지 적용</t>
        </is>
      </c>
      <c r="R35" s="0" t="n"/>
    </row>
    <row r="36" ht="42" customHeight="1" s="56">
      <c r="A36" s="8" t="n">
        <v>57</v>
      </c>
      <c r="B36" s="8" t="inlineStr">
        <is>
          <t>설치도</t>
        </is>
      </c>
      <c r="C36" s="8" t="inlineStr">
        <is>
          <t>치수</t>
        </is>
      </c>
      <c r="D36" s="7" t="inlineStr">
        <is>
          <t>연결부재·기준부재 접합 위치 치수</t>
        </is>
      </c>
      <c r="E36" s="8" t="inlineStr">
        <is>
          <t>○</t>
        </is>
      </c>
      <c r="F36" s="8" t="inlineStr">
        <is>
          <t>X</t>
        </is>
      </c>
      <c r="G36" s="8" t="inlineStr">
        <is>
          <t>O</t>
        </is>
      </c>
      <c r="H36" s="8" t="inlineStr">
        <is>
          <t>O</t>
        </is>
      </c>
      <c r="I36" s="8" t="inlineStr">
        <is>
          <t>완료</t>
        </is>
      </c>
      <c r="J36" s="7" t="inlineStr">
        <is>
          <t>긴 유효축 기준 끝단·접합측 치수, 평면 폭과 1mm 이내 간격 제거</t>
        </is>
      </c>
      <c r="K36" s="8" t="inlineStr">
        <is>
          <t>없음</t>
        </is>
      </c>
      <c r="L36" s="8" t="inlineStr">
        <is>
          <t>X</t>
        </is>
      </c>
      <c r="M36" s="8" t="inlineStr">
        <is>
          <t>O</t>
        </is>
      </c>
      <c r="N36" s="67" t="n">
        <v>46224</v>
      </c>
      <c r="O36" s="67" t="n">
        <v>46226</v>
      </c>
      <c r="P36" s="67" t="n">
        <v>46226</v>
      </c>
      <c r="Q36" s="7" t="inlineStr">
        <is>
          <t>설치 연결부 영역과 위치 치수의 실기 확인 완료</t>
        </is>
      </c>
      <c r="R36" s="0" t="n"/>
    </row>
    <row r="37" ht="42" customHeight="1" s="56">
      <c r="A37" s="8" t="n">
        <v>58</v>
      </c>
      <c r="B37" s="8" t="inlineStr">
        <is>
          <t>가공도</t>
        </is>
      </c>
      <c r="C37" s="8" t="inlineStr">
        <is>
          <t>형상 정보</t>
        </is>
      </c>
      <c r="D37" s="7" t="inlineStr">
        <is>
          <t>Hole 정보·풍선</t>
        </is>
      </c>
      <c r="E37" s="8" t="inlineStr">
        <is>
          <t>○</t>
        </is>
      </c>
      <c r="F37" s="8" t="inlineStr">
        <is>
          <t>X</t>
        </is>
      </c>
      <c r="G37" s="8" t="inlineStr">
        <is>
          <t>O</t>
        </is>
      </c>
      <c r="H37" s="8" t="inlineStr">
        <is>
          <t>O</t>
        </is>
      </c>
      <c r="I37" s="8" t="inlineStr">
        <is>
          <t>완료</t>
        </is>
      </c>
      <c r="J37" s="7" t="inlineStr">
        <is>
          <t>Hole 표식을 가로 전환 후 최종 화면 하단에 배치</t>
        </is>
      </c>
      <c r="K37" s="8" t="inlineStr">
        <is>
          <t>없음</t>
        </is>
      </c>
      <c r="L37" s="8" t="inlineStr">
        <is>
          <t>X</t>
        </is>
      </c>
      <c r="M37" s="8" t="inlineStr">
        <is>
          <t>X</t>
        </is>
      </c>
      <c r="N37" s="67" t="n">
        <v>46195</v>
      </c>
      <c r="O37" s="67" t="n">
        <v>46226</v>
      </c>
      <c r="P37" s="67" t="n">
        <v>46226</v>
      </c>
      <c r="Q37" s="7" t="inlineStr">
        <is>
          <t>회전 후 좌측으로 쏠리던 위치를 보정하고 PDF 실기 확인 완료</t>
        </is>
      </c>
      <c r="R37" s="0" t="n"/>
    </row>
    <row r="38" ht="42" customHeight="1" s="56">
      <c r="A38" s="8" t="n">
        <v>60</v>
      </c>
      <c r="B38" s="8" t="inlineStr">
        <is>
          <t>가공도</t>
        </is>
      </c>
      <c r="C38" s="8" t="inlineStr">
        <is>
          <t>형상 정보</t>
        </is>
      </c>
      <c r="D38" s="7" t="inlineStr">
        <is>
          <t>EarthBoss 정보·풍선</t>
        </is>
      </c>
      <c r="E38" s="8" t="inlineStr">
        <is>
          <t>○</t>
        </is>
      </c>
      <c r="F38" s="8" t="inlineStr">
        <is>
          <t>X</t>
        </is>
      </c>
      <c r="G38" s="8" t="inlineStr">
        <is>
          <t>O</t>
        </is>
      </c>
      <c r="H38" s="8" t="inlineStr">
        <is>
          <t>O</t>
        </is>
      </c>
      <c r="I38" s="8" t="inlineStr">
        <is>
          <t>완료</t>
        </is>
      </c>
      <c r="J38" s="7" t="inlineStr">
        <is>
          <t>EarthBoss 풍선은 PDF에 유지하고 3D 미리보기에서는 정리</t>
        </is>
      </c>
      <c r="K38" s="8" t="inlineStr">
        <is>
          <t>없음</t>
        </is>
      </c>
      <c r="L38" s="8" t="inlineStr">
        <is>
          <t>X</t>
        </is>
      </c>
      <c r="M38" s="8" t="inlineStr">
        <is>
          <t>X</t>
        </is>
      </c>
      <c r="N38" s="67" t="n">
        <v>46164</v>
      </c>
      <c r="O38" s="67" t="n">
        <v>46226</v>
      </c>
      <c r="P38" s="67" t="n">
        <v>46226</v>
      </c>
      <c r="Q38" s="7" t="inlineStr">
        <is>
          <t>3D 미리보기 정리와 PDF 풍선 유지 동작 실기 확인 완료</t>
        </is>
      </c>
      <c r="R38" s="0" t="n"/>
    </row>
    <row r="39" ht="42" customHeight="1" s="56">
      <c r="A39" s="8" t="n">
        <v>63</v>
      </c>
      <c r="B39" s="8" t="inlineStr">
        <is>
          <t>가공도</t>
        </is>
      </c>
      <c r="C39" s="8" t="inlineStr">
        <is>
          <t>미리보기</t>
        </is>
      </c>
      <c r="D39" s="7" t="inlineStr">
        <is>
          <t>3D 미리보기 형상 풍선 숨김</t>
        </is>
      </c>
      <c r="E39" s="8" t="inlineStr">
        <is>
          <t>X</t>
        </is>
      </c>
      <c r="F39" s="8" t="inlineStr">
        <is>
          <t>○</t>
        </is>
      </c>
      <c r="G39" s="8" t="inlineStr">
        <is>
          <t>O</t>
        </is>
      </c>
      <c r="H39" s="8" t="inlineStr">
        <is>
          <t>O</t>
        </is>
      </c>
      <c r="I39" s="8" t="inlineStr">
        <is>
          <t>완료</t>
        </is>
      </c>
      <c r="J39" s="7" t="inlineStr">
        <is>
          <t>3D 미리보기의 Review Note 풍선을 정리하고 PDF 출력 풍선은 유지</t>
        </is>
      </c>
      <c r="K39" s="8" t="inlineStr">
        <is>
          <t>없음</t>
        </is>
      </c>
      <c r="L39" s="8" t="inlineStr">
        <is>
          <t>X</t>
        </is>
      </c>
      <c r="M39" s="8" t="inlineStr">
        <is>
          <t>O</t>
        </is>
      </c>
      <c r="N39" s="67" t="n">
        <v>46225</v>
      </c>
      <c r="O39" s="67" t="n">
        <v>46226</v>
      </c>
      <c r="P39" s="67" t="n">
        <v>46226</v>
      </c>
      <c r="Q39" s="7" t="inlineStr">
        <is>
          <t>사용자 실기 확인 완료: 3D 미리보기의 Hole·SlotHole·EarthBoss 풍선은 숨기고 PDF 풍선은 유지</t>
        </is>
      </c>
      <c r="R39" s="0" t="n"/>
    </row>
    <row r="40" ht="42" customHeight="1" s="56">
      <c r="A40" s="8" t="n">
        <v>6</v>
      </c>
      <c r="B40" s="8" t="inlineStr">
        <is>
          <t>공통</t>
        </is>
      </c>
      <c r="C40" s="8" t="inlineStr">
        <is>
          <t>출력 흐름</t>
        </is>
      </c>
      <c r="D40" s="7" t="inlineStr">
        <is>
          <t>STRU 단위 4종 도면 일괄 출력</t>
        </is>
      </c>
      <c r="E40" s="8" t="inlineStr">
        <is>
          <t>○</t>
        </is>
      </c>
      <c r="F40" s="8" t="inlineStr">
        <is>
          <t>X</t>
        </is>
      </c>
      <c r="G40" s="8" t="inlineStr">
        <is>
          <t>O</t>
        </is>
      </c>
      <c r="H40" s="8" t="inlineStr">
        <is>
          <t>O</t>
        </is>
      </c>
      <c r="I40" s="8" t="inlineStr">
        <is>
          <t>완료</t>
        </is>
      </c>
      <c r="J40" s="7" t="inlineStr">
        <is>
          <t>STRU별 제작도·조립도·설치도·가공도 일괄 출력</t>
        </is>
      </c>
      <c r="K40" s="8" t="inlineStr">
        <is>
          <t>없음</t>
        </is>
      </c>
      <c r="L40" s="8" t="inlineStr">
        <is>
          <t>X</t>
        </is>
      </c>
      <c r="M40" s="8" t="inlineStr">
        <is>
          <t>O</t>
        </is>
      </c>
      <c r="N40" s="67" t="n">
        <v>46155</v>
      </c>
      <c r="O40" s="67" t="n">
        <v>46226</v>
      </c>
      <c r="P40" s="67" t="n">
        <v>46226</v>
      </c>
      <c r="Q40" s="7" t="inlineStr">
        <is>
          <t>가공도 포함 4종 도면의 STRU 단위 일괄 출력 구현 완료</t>
        </is>
      </c>
      <c r="R40" s="0" t="n"/>
    </row>
    <row r="41" ht="42" customHeight="1" s="56">
      <c r="A41" s="8" t="n">
        <v>59</v>
      </c>
      <c r="B41" s="8" t="inlineStr">
        <is>
          <t>가공도</t>
        </is>
      </c>
      <c r="C41" s="8" t="inlineStr">
        <is>
          <t>형상 정보</t>
        </is>
      </c>
      <c r="D41" s="7" t="inlineStr">
        <is>
          <t>SlotHole 정보·풍선</t>
        </is>
      </c>
      <c r="E41" s="8" t="inlineStr">
        <is>
          <t>○</t>
        </is>
      </c>
      <c r="F41" s="8" t="inlineStr">
        <is>
          <t>X</t>
        </is>
      </c>
      <c r="G41" s="8" t="inlineStr">
        <is>
          <t>O</t>
        </is>
      </c>
      <c r="H41" s="8" t="inlineStr">
        <is>
          <t>O</t>
        </is>
      </c>
      <c r="I41" s="8" t="inlineStr">
        <is>
          <t>완료</t>
        </is>
      </c>
      <c r="J41" s="7" t="inlineStr">
        <is>
          <t>SlotHole 표식을 가로 전환 후 최종 화면 하단에 배치</t>
        </is>
      </c>
      <c r="K41" s="8" t="inlineStr">
        <is>
          <t>없음</t>
        </is>
      </c>
      <c r="L41" s="8" t="inlineStr">
        <is>
          <t>X</t>
        </is>
      </c>
      <c r="M41" s="8" t="inlineStr">
        <is>
          <t>X</t>
        </is>
      </c>
      <c r="N41" s="67" t="n">
        <v>46195</v>
      </c>
      <c r="O41" s="67" t="n">
        <v>46226</v>
      </c>
      <c r="P41" s="67" t="n">
        <v>46226</v>
      </c>
      <c r="Q41" s="7" t="inlineStr">
        <is>
          <t>회전 후 좌측으로 쏠리던 위치를 보정하고 PDF 실기 확인 완료</t>
        </is>
      </c>
      <c r="R41" s="0" t="n"/>
    </row>
    <row r="42" ht="42" customHeight="1" s="56">
      <c r="A42" s="8" t="n">
        <v>33</v>
      </c>
      <c r="B42" s="8" t="inlineStr">
        <is>
          <t>공통</t>
        </is>
      </c>
      <c r="C42" s="8" t="inlineStr">
        <is>
          <t>BOM 디자인</t>
        </is>
      </c>
      <c r="D42" s="7" t="inlineStr">
        <is>
          <t>BOM 텍스트 줄바꿈·열 너비</t>
        </is>
      </c>
      <c r="E42" s="8" t="inlineStr">
        <is>
          <t>X</t>
        </is>
      </c>
      <c r="F42" s="8" t="inlineStr">
        <is>
          <t>○</t>
        </is>
      </c>
      <c r="G42" s="8" t="inlineStr">
        <is>
          <t>O</t>
        </is>
      </c>
      <c r="H42" s="8" t="inlineStr">
        <is>
          <t>O</t>
        </is>
      </c>
      <c r="I42" s="8" t="inlineStr">
        <is>
          <t>완료</t>
        </is>
      </c>
      <c r="J42" s="7" t="inlineStr">
        <is>
          <t>고정 열 너비 + 폰트 축소</t>
        </is>
      </c>
      <c r="K42" s="8" t="inlineStr">
        <is>
          <t>없음</t>
        </is>
      </c>
      <c r="L42" s="8" t="inlineStr">
        <is>
          <t>X</t>
        </is>
      </c>
      <c r="M42" s="8" t="inlineStr">
        <is>
          <t>X</t>
        </is>
      </c>
      <c r="N42" s="67" t="n">
        <v>46152</v>
      </c>
      <c r="O42" s="67" t="n">
        <v>46226</v>
      </c>
      <c r="P42" s="67" t="n">
        <v>46226</v>
      </c>
      <c r="Q42" s="7" t="inlineStr">
        <is>
          <t>BOM 텍스트 줄바꿈·열 너비 실기 확인 완료</t>
        </is>
      </c>
      <c r="R42" s="0" t="n"/>
    </row>
    <row r="43" ht="42" customHeight="1" s="56">
      <c r="A43" s="8" t="n">
        <v>5</v>
      </c>
      <c r="B43" s="8" t="inlineStr">
        <is>
          <t>가공도</t>
        </is>
      </c>
      <c r="C43" s="8" t="inlineStr">
        <is>
          <t>출력 흐름</t>
        </is>
      </c>
      <c r="D43" s="7" t="inlineStr">
        <is>
          <t>가공도 자동 일괄 출력</t>
        </is>
      </c>
      <c r="E43" s="8" t="inlineStr">
        <is>
          <t>○</t>
        </is>
      </c>
      <c r="F43" s="8" t="inlineStr">
        <is>
          <t>X</t>
        </is>
      </c>
      <c r="G43" s="8" t="inlineStr">
        <is>
          <t>O</t>
        </is>
      </c>
      <c r="H43" s="8" t="inlineStr">
        <is>
          <t>O</t>
        </is>
      </c>
      <c r="I43" s="8" t="inlineStr">
        <is>
          <t>완료</t>
        </is>
      </c>
      <c r="J43" s="7" t="inlineStr">
        <is>
          <t>가공도를 포함한 도면 종류별 자동 일괄 출력</t>
        </is>
      </c>
      <c r="K43" s="8" t="inlineStr">
        <is>
          <t>없음</t>
        </is>
      </c>
      <c r="L43" s="8" t="inlineStr">
        <is>
          <t>X</t>
        </is>
      </c>
      <c r="M43" s="8" t="inlineStr">
        <is>
          <t>X</t>
        </is>
      </c>
      <c r="N43" s="67" t="n"/>
      <c r="O43" s="67" t="n">
        <v>46226</v>
      </c>
      <c r="P43" s="67" t="n">
        <v>46226</v>
      </c>
      <c r="Q43" s="7" t="inlineStr">
        <is>
          <t>가공도와 여러 STRU를 포함한 자동 일괄 출력 구현 완료</t>
        </is>
      </c>
      <c r="R43" s="0" t="n"/>
    </row>
    <row r="44" ht="42" customHeight="1" s="56">
      <c r="A44" s="8" t="n">
        <v>34</v>
      </c>
      <c r="B44" s="8" t="inlineStr">
        <is>
          <t>제작·조립·설치·가공</t>
        </is>
      </c>
      <c r="C44" s="8" t="inlineStr">
        <is>
          <t>표제부</t>
        </is>
      </c>
      <c r="D44" s="7" t="inlineStr">
        <is>
          <t>PAINT CODE (STRU UDA PNT)</t>
        </is>
      </c>
      <c r="E44" s="8" t="inlineStr">
        <is>
          <t>○</t>
        </is>
      </c>
      <c r="F44" s="8" t="inlineStr">
        <is>
          <t>X</t>
        </is>
      </c>
      <c r="G44" s="8" t="inlineStr">
        <is>
          <t>O</t>
        </is>
      </c>
      <c r="H44" s="8" t="inlineStr">
        <is>
          <t>O</t>
        </is>
      </c>
      <c r="I44" s="8" t="inlineStr">
        <is>
          <t>완료</t>
        </is>
      </c>
      <c r="J44" s="7" t="inlineStr">
        <is>
          <t>STRU 상위의 첫 비어 있지 않은 PNT UDA를 Input 166에 표시</t>
        </is>
      </c>
      <c r="K44" s="8" t="inlineStr">
        <is>
          <t>없음</t>
        </is>
      </c>
      <c r="L44" s="8" t="inlineStr">
        <is>
          <t>X</t>
        </is>
      </c>
      <c r="M44" s="8" t="inlineStr">
        <is>
          <t>X</t>
        </is>
      </c>
      <c r="N44" s="67" t="n">
        <v>46213</v>
      </c>
      <c r="O44" s="67" t="n">
        <v>46226</v>
      </c>
      <c r="P44" s="67" t="n">
        <v>46226</v>
      </c>
      <c r="Q44" s="7" t="inlineStr">
        <is>
          <t>4종 도면 모두 Paint Code 연결과 실기 확인 완료</t>
        </is>
      </c>
      <c r="R44" s="0" t="n"/>
    </row>
    <row r="45" ht="42" customHeight="1" s="56">
      <c r="A45" s="8" t="n">
        <v>21</v>
      </c>
      <c r="B45" s="8" t="inlineStr">
        <is>
          <t>가공도</t>
        </is>
      </c>
      <c r="C45" s="8" t="inlineStr">
        <is>
          <t>뷰</t>
        </is>
      </c>
      <c r="D45" s="7" t="inlineStr">
        <is>
          <t>모델 축 틀어짐 현상</t>
        </is>
      </c>
      <c r="E45" s="8" t="inlineStr">
        <is>
          <t>○</t>
        </is>
      </c>
      <c r="F45" s="8" t="inlineStr">
        <is>
          <t>X</t>
        </is>
      </c>
      <c r="G45" s="8" t="inlineStr">
        <is>
          <t>O</t>
        </is>
      </c>
      <c r="H45" s="8" t="inlineStr">
        <is>
          <t>O</t>
        </is>
      </c>
      <c r="I45" s="8" t="inlineStr">
        <is>
          <t>완료</t>
        </is>
      </c>
      <c r="J45" s="7" t="inlineStr">
        <is>
          <t>ORIENTATION UDA와 ReferenceAxis를 이용해 기울어진 부재 축 정렬</t>
        </is>
      </c>
      <c r="K45" s="8" t="inlineStr">
        <is>
          <t>없음</t>
        </is>
      </c>
      <c r="L45" s="8" t="inlineStr">
        <is>
          <t>X</t>
        </is>
      </c>
      <c r="M45" s="8" t="inlineStr">
        <is>
          <t>O</t>
        </is>
      </c>
      <c r="N45" s="67" t="n">
        <v>46135</v>
      </c>
      <c r="O45" s="67" t="n">
        <v>46226</v>
      </c>
      <c r="P45" s="67" t="n">
        <v>46226</v>
      </c>
      <c r="Q45" s="7" t="inlineStr">
        <is>
          <t>부재 기준축 정렬 완료. 치수 문자 각도와 앵글 촬영 기준은 별도 항목으로 관리</t>
        </is>
      </c>
      <c r="R45" s="0" t="n"/>
    </row>
    <row r="46" ht="42" customHeight="1" s="56">
      <c r="A46" s="8" t="n">
        <v>20</v>
      </c>
      <c r="B46" s="8" t="inlineStr">
        <is>
          <t>제작·조립·설치</t>
        </is>
      </c>
      <c r="C46" s="8" t="inlineStr">
        <is>
          <t>ISO 풍선 API</t>
        </is>
      </c>
      <c r="D46" s="7" t="inlineStr">
        <is>
          <t>ISO 풍선 배치 영역 고정 API</t>
        </is>
      </c>
      <c r="E46" s="8" t="inlineStr">
        <is>
          <t>X</t>
        </is>
      </c>
      <c r="F46" s="8" t="inlineStr">
        <is>
          <t>○</t>
        </is>
      </c>
      <c r="G46" s="8" t="inlineStr">
        <is>
          <t>O</t>
        </is>
      </c>
      <c r="H46" s="8" t="inlineStr">
        <is>
          <t>O</t>
        </is>
      </c>
      <c r="I46" s="8" t="inlineStr">
        <is>
          <t>완료</t>
        </is>
      </c>
      <c r="J46" s="7" t="inlineStr">
        <is>
          <t>실제 2D 객체 AABB 기준으로 풍선을 20mm 이격 배치</t>
        </is>
      </c>
      <c r="K46" s="8" t="inlineStr">
        <is>
          <t>없음</t>
        </is>
      </c>
      <c r="L46" s="8" t="inlineStr">
        <is>
          <t>X</t>
        </is>
      </c>
      <c r="M46" s="8" t="inlineStr">
        <is>
          <t>X</t>
        </is>
      </c>
      <c r="N46" s="67" t="n">
        <v>46154</v>
      </c>
      <c r="O46" s="67" t="n">
        <v>46226</v>
      </c>
      <c r="P46" s="67" t="n">
        <v>46226</v>
      </c>
      <c r="Q46" s="7" t="inlineStr">
        <is>
          <t>측정 풍선 위치를 실제 2D 형상 기준으로 계산하고 SDK 자동 정렬 적용</t>
        </is>
      </c>
      <c r="R46" s="0" t="n"/>
    </row>
    <row r="47" ht="42" customHeight="1" s="56">
      <c r="A47" s="8" t="n">
        <v>32</v>
      </c>
      <c r="B47" s="8" t="inlineStr">
        <is>
          <t>공통</t>
        </is>
      </c>
      <c r="C47" s="8" t="inlineStr">
        <is>
          <t>템플릿 API</t>
        </is>
      </c>
      <c r="D47" s="7" t="inlineStr">
        <is>
          <t>빈 셀 테두리 삭제 시 고정 템플릿 테두리 보존</t>
        </is>
      </c>
      <c r="E47" s="8" t="inlineStr">
        <is>
          <t>X</t>
        </is>
      </c>
      <c r="F47" s="8" t="inlineStr">
        <is>
          <t>○</t>
        </is>
      </c>
      <c r="G47" s="8" t="inlineStr">
        <is>
          <t>O</t>
        </is>
      </c>
      <c r="H47" s="8" t="inlineStr">
        <is>
          <t>O</t>
        </is>
      </c>
      <c r="I47" s="8" t="inlineStr">
        <is>
          <t>완료</t>
        </is>
      </c>
      <c r="J47" s="7" t="inlineStr">
        <is>
          <t>빈 Note 영역의 테두리만 제거하고 고정 템플릿 테두리는 보존</t>
        </is>
      </c>
      <c r="K47" s="8" t="inlineStr">
        <is>
          <t>없음</t>
        </is>
      </c>
      <c r="L47" s="8" t="inlineStr">
        <is>
          <t>X</t>
        </is>
      </c>
      <c r="M47" s="8" t="inlineStr">
        <is>
          <t>O</t>
        </is>
      </c>
      <c r="N47" s="67" t="n">
        <v>46224</v>
      </c>
      <c r="O47" s="67" t="n">
        <v>46226</v>
      </c>
      <c r="P47" s="67" t="n">
        <v>46226</v>
      </c>
      <c r="Q47" s="7" t="inlineStr">
        <is>
          <t>API 수정본 적용 후 빈 Note 영역 테두리 제거와 고정 템플릿 테두리 보존 확인 완료</t>
        </is>
      </c>
      <c r="R47" s="0" t="n"/>
    </row>
    <row r="48" ht="42" customHeight="1" s="56">
      <c r="A48" s="8" t="n">
        <v>70</v>
      </c>
      <c r="B48" s="8" t="inlineStr">
        <is>
          <t>제작·조립·설치·가공</t>
        </is>
      </c>
      <c r="C48" s="8" t="inlineStr">
        <is>
          <t>템플릿 API</t>
        </is>
      </c>
      <c r="D48" s="7" t="inlineStr">
        <is>
          <t>템플릿 Input 다량 적용 시 보호된 메모리 충돌</t>
        </is>
      </c>
      <c r="E48" s="8" t="inlineStr">
        <is>
          <t>○</t>
        </is>
      </c>
      <c r="F48" s="8" t="inlineStr">
        <is>
          <t>X</t>
        </is>
      </c>
      <c r="G48" s="8" t="inlineStr">
        <is>
          <t>O</t>
        </is>
      </c>
      <c r="H48" s="8" t="inlineStr">
        <is>
          <t>O</t>
        </is>
      </c>
      <c r="I48" s="8" t="inlineStr">
        <is>
          <t>완료</t>
        </is>
      </c>
      <c r="J48" s="7" t="inlineStr">
        <is>
          <t>Input 200개 이상 템플릿 적용과 고정 태그·괘선 처리 안정화</t>
        </is>
      </c>
      <c r="K48" s="8" t="inlineStr">
        <is>
          <t>없음</t>
        </is>
      </c>
      <c r="L48" s="8" t="inlineStr">
        <is>
          <t>X</t>
        </is>
      </c>
      <c r="M48" s="8" t="inlineStr">
        <is>
          <t>O</t>
        </is>
      </c>
      <c r="N48" s="67" t="n"/>
      <c r="O48" s="67" t="n">
        <v>46226</v>
      </c>
      <c r="P48" s="67" t="n">
        <v>46226</v>
      </c>
      <c r="Q48" s="7" t="inlineStr">
        <is>
          <t>보호된 메모리 충돌 해결과 가공도 템플릿 태그 정렬 완료</t>
        </is>
      </c>
      <c r="R48" s="0" t="n"/>
    </row>
    <row r="49" ht="42" customHeight="1" s="56">
      <c r="A49" s="8" t="n">
        <v>75</v>
      </c>
      <c r="B49" s="8" t="inlineStr">
        <is>
          <t>제작·설치</t>
        </is>
      </c>
      <c r="C49" s="8" t="inlineStr">
        <is>
          <t>ISO 표현</t>
        </is>
      </c>
      <c r="D49" s="7" t="inlineStr">
        <is>
          <t>연결부재 풍선 폰트·크기 통일</t>
        </is>
      </c>
      <c r="E49" s="8" t="inlineStr">
        <is>
          <t>X</t>
        </is>
      </c>
      <c r="F49" s="8" t="inlineStr">
        <is>
          <t>○</t>
        </is>
      </c>
      <c r="G49" s="8" t="inlineStr">
        <is>
          <t>O</t>
        </is>
      </c>
      <c r="H49" s="8" t="inlineStr">
        <is>
          <t>O</t>
        </is>
      </c>
      <c r="I49" s="8" t="inlineStr">
        <is>
          <t>완료</t>
        </is>
      </c>
      <c r="J49" s="7" t="inlineStr">
        <is>
          <t>부재번호 풍선과 같은 10.5f 텍스트·풍선 크기</t>
        </is>
      </c>
      <c r="K49" s="8" t="inlineStr">
        <is>
          <t>없음</t>
        </is>
      </c>
      <c r="L49" s="8" t="inlineStr">
        <is>
          <t>X</t>
        </is>
      </c>
      <c r="M49" s="8" t="inlineStr">
        <is>
          <t>O</t>
        </is>
      </c>
      <c r="N49" s="67" t="n">
        <v>46226</v>
      </c>
      <c r="O49" s="67" t="n">
        <v>46226</v>
      </c>
      <c r="P49" s="67" t="n">
        <v>46226</v>
      </c>
      <c r="Q49" s="7" t="inlineStr">
        <is>
          <t>연결부재 이름 풍선과 BOM 번호 풍선 스타일 통일 완료</t>
        </is>
      </c>
      <c r="R49" s="0" t="n"/>
    </row>
    <row r="50" ht="42" customHeight="1" s="56">
      <c r="A50" s="8" t="n">
        <v>76</v>
      </c>
      <c r="B50" s="8" t="inlineStr">
        <is>
          <t>가공도</t>
        </is>
      </c>
      <c r="C50" s="8" t="inlineStr">
        <is>
          <t>표현 디자인</t>
        </is>
      </c>
      <c r="D50" s="7" t="inlineStr">
        <is>
          <t>가공도 부재명 텍스트 왼쪽 정렬</t>
        </is>
      </c>
      <c r="E50" s="8" t="inlineStr">
        <is>
          <t>X</t>
        </is>
      </c>
      <c r="F50" s="8" t="inlineStr">
        <is>
          <t>○</t>
        </is>
      </c>
      <c r="G50" s="8" t="inlineStr">
        <is>
          <t>O</t>
        </is>
      </c>
      <c r="H50" s="8" t="inlineStr">
        <is>
          <t>O</t>
        </is>
      </c>
      <c r="I50" s="8" t="inlineStr">
        <is>
          <t>완료</t>
        </is>
      </c>
      <c r="J50" s="7" t="inlineStr">
        <is>
          <t>가공도 템플릿 부재명 라벨을 왼쪽 정렬</t>
        </is>
      </c>
      <c r="K50" s="8" t="inlineStr">
        <is>
          <t>없음</t>
        </is>
      </c>
      <c r="L50" s="8" t="inlineStr">
        <is>
          <t>X</t>
        </is>
      </c>
      <c r="M50" s="8" t="inlineStr">
        <is>
          <t>O</t>
        </is>
      </c>
      <c r="N50" s="67" t="n">
        <v>46226</v>
      </c>
      <c r="O50" s="67" t="n">
        <v>46226</v>
      </c>
      <c r="P50" s="67" t="n">
        <v>46226</v>
      </c>
      <c r="Q50" s="7" t="inlineStr">
        <is>
          <t>가공도 부재명 가독성 개선 완료</t>
        </is>
      </c>
      <c r="R50" s="0" t="n"/>
    </row>
    <row r="51" ht="42" customHeight="1" s="56">
      <c r="A51" s="8" t="n">
        <v>77</v>
      </c>
      <c r="B51" s="8" t="inlineStr">
        <is>
          <t>공통</t>
        </is>
      </c>
      <c r="C51" s="8" t="inlineStr">
        <is>
          <t>출력 UX</t>
        </is>
      </c>
      <c r="D51" s="7" t="inlineStr">
        <is>
          <t>제작도·조립도·설치도·가공도 종류별 출력 버튼</t>
        </is>
      </c>
      <c r="E51" s="8" t="inlineStr">
        <is>
          <t>X</t>
        </is>
      </c>
      <c r="F51" s="8" t="inlineStr">
        <is>
          <t>○</t>
        </is>
      </c>
      <c r="G51" s="8" t="inlineStr">
        <is>
          <t>O</t>
        </is>
      </c>
      <c r="H51" s="8" t="inlineStr">
        <is>
          <t>O</t>
        </is>
      </c>
      <c r="I51" s="8" t="inlineStr">
        <is>
          <t>완료</t>
        </is>
      </c>
      <c r="J51" s="7" t="inlineStr">
        <is>
          <t>4종 출력 버튼을 분리하고 가공도 버튼명을 명확히 표시</t>
        </is>
      </c>
      <c r="K51" s="8" t="inlineStr">
        <is>
          <t>없음</t>
        </is>
      </c>
      <c r="L51" s="8" t="inlineStr">
        <is>
          <t>X</t>
        </is>
      </c>
      <c r="M51" s="8" t="inlineStr">
        <is>
          <t>O</t>
        </is>
      </c>
      <c r="N51" s="67" t="n">
        <v>46226</v>
      </c>
      <c r="O51" s="67" t="n">
        <v>46227</v>
      </c>
      <c r="P51" s="67" t="n">
        <v>46227</v>
      </c>
      <c r="Q51" s="7" t="inlineStr">
        <is>
          <t>도면 종류별 출력 진입점을 분리해 선택 오류를 줄임</t>
        </is>
      </c>
      <c r="R51" s="0" t="n"/>
    </row>
    <row r="52" ht="42" customHeight="1" s="56">
      <c r="A52" s="8" t="n">
        <v>78</v>
      </c>
      <c r="B52" s="8" t="inlineStr">
        <is>
          <t>공통</t>
        </is>
      </c>
      <c r="C52" s="8" t="inlineStr">
        <is>
          <t>검색 UX</t>
        </is>
      </c>
      <c r="D52" s="7" t="inlineStr">
        <is>
          <t>STRU 검색과 치수 추출 분리</t>
        </is>
      </c>
      <c r="E52" s="8" t="inlineStr">
        <is>
          <t>X</t>
        </is>
      </c>
      <c r="F52" s="8" t="inlineStr">
        <is>
          <t>○</t>
        </is>
      </c>
      <c r="G52" s="8" t="inlineStr">
        <is>
          <t>O</t>
        </is>
      </c>
      <c r="H52" s="8" t="inlineStr">
        <is>
          <t>O</t>
        </is>
      </c>
      <c r="I52" s="8" t="inlineStr">
        <is>
          <t>완료</t>
        </is>
      </c>
      <c r="J52" s="7" t="inlineStr">
        <is>
          <t>STRU 검색은 검색 버튼으로만 실행하고 치수 추출과 분리</t>
        </is>
      </c>
      <c r="K52" s="8" t="inlineStr">
        <is>
          <t>없음</t>
        </is>
      </c>
      <c r="L52" s="8" t="inlineStr">
        <is>
          <t>X</t>
        </is>
      </c>
      <c r="M52" s="8" t="inlineStr">
        <is>
          <t>O</t>
        </is>
      </c>
      <c r="N52" s="67" t="n">
        <v>46226</v>
      </c>
      <c r="O52" s="67" t="n">
        <v>46227</v>
      </c>
      <c r="P52" s="67" t="n">
        <v>46227</v>
      </c>
      <c r="Q52" s="7" t="inlineStr">
        <is>
          <t>Enter·자동 검색으로 치수 추출이 함께 실행되던 흐름을 제거</t>
        </is>
      </c>
      <c r="R52" s="0" t="n"/>
    </row>
    <row r="53" ht="42" customHeight="1" s="56">
      <c r="A53" s="48" t="n">
        <v>1</v>
      </c>
      <c r="B53" s="48" t="inlineStr">
        <is>
          <t>공통</t>
        </is>
      </c>
      <c r="C53" s="48" t="inlineStr">
        <is>
          <t>출력 흐름</t>
        </is>
      </c>
      <c r="D53" s="10" t="inlineStr">
        <is>
          <t>제작도 PDF 자동 출력</t>
        </is>
      </c>
      <c r="E53" s="48" t="inlineStr">
        <is>
          <t>○</t>
        </is>
      </c>
      <c r="F53" s="48" t="inlineStr">
        <is>
          <t>X</t>
        </is>
      </c>
      <c r="G53" s="48" t="inlineStr">
        <is>
          <t>O</t>
        </is>
      </c>
      <c r="H53" s="48" t="inlineStr">
        <is>
          <t>O</t>
        </is>
      </c>
      <c r="I53" s="48" t="inlineStr">
        <is>
          <t>완료</t>
        </is>
      </c>
      <c r="J53" s="10" t="inlineStr">
        <is>
          <t>Excel 템플릿 + 4면도 + BOM</t>
        </is>
      </c>
      <c r="K53" s="48" t="inlineStr">
        <is>
          <t>없음</t>
        </is>
      </c>
      <c r="L53" s="48" t="inlineStr">
        <is>
          <t>X</t>
        </is>
      </c>
      <c r="M53" s="48" t="inlineStr">
        <is>
          <t>X</t>
        </is>
      </c>
      <c r="N53" s="71" t="n">
        <v>46155</v>
      </c>
      <c r="O53" s="71" t="n">
        <v>46227</v>
      </c>
      <c r="P53" s="71" t="n">
        <v>46227</v>
      </c>
      <c r="Q53" s="10" t="inlineStr">
        <is>
          <t>제작도 PDF 자동 출력 완료 확인</t>
        </is>
      </c>
      <c r="R53" s="0" t="n"/>
    </row>
    <row r="54" ht="42" customHeight="1" s="56">
      <c r="A54" s="48" t="n">
        <v>2</v>
      </c>
      <c r="B54" s="48" t="inlineStr">
        <is>
          <t>공통</t>
        </is>
      </c>
      <c r="C54" s="48" t="inlineStr">
        <is>
          <t>출력 흐름</t>
        </is>
      </c>
      <c r="D54" s="10" t="inlineStr">
        <is>
          <t>조립도 PDF 자동 출력</t>
        </is>
      </c>
      <c r="E54" s="48" t="inlineStr">
        <is>
          <t>○</t>
        </is>
      </c>
      <c r="F54" s="48" t="inlineStr">
        <is>
          <t>X</t>
        </is>
      </c>
      <c r="G54" s="48" t="inlineStr">
        <is>
          <t>O</t>
        </is>
      </c>
      <c r="H54" s="48" t="inlineStr">
        <is>
          <t>O</t>
        </is>
      </c>
      <c r="I54" s="48" t="inlineStr">
        <is>
          <t>완료</t>
        </is>
      </c>
      <c r="J54" s="10" t="inlineStr">
        <is>
          <t>제작도 공통 템플릿 + 조립도 분기</t>
        </is>
      </c>
      <c r="K54" s="48" t="inlineStr">
        <is>
          <t>없음</t>
        </is>
      </c>
      <c r="L54" s="48" t="inlineStr">
        <is>
          <t>X</t>
        </is>
      </c>
      <c r="M54" s="48" t="inlineStr">
        <is>
          <t>O</t>
        </is>
      </c>
      <c r="N54" s="71" t="n">
        <v>46155</v>
      </c>
      <c r="O54" s="71" t="n">
        <v>46227</v>
      </c>
      <c r="P54" s="71" t="n">
        <v>46227</v>
      </c>
      <c r="Q54" s="10" t="inlineStr">
        <is>
          <t>조립도 PDF 자동 출력 완료 확인</t>
        </is>
      </c>
      <c r="R54" s="0" t="n"/>
    </row>
    <row r="55" ht="42" customHeight="1" s="56">
      <c r="A55" s="48" t="n">
        <v>3</v>
      </c>
      <c r="B55" s="48" t="inlineStr">
        <is>
          <t>공통</t>
        </is>
      </c>
      <c r="C55" s="48" t="inlineStr">
        <is>
          <t>출력 흐름</t>
        </is>
      </c>
      <c r="D55" s="10" t="inlineStr">
        <is>
          <t>설치도 PDF 자동 출력</t>
        </is>
      </c>
      <c r="E55" s="48" t="inlineStr">
        <is>
          <t>○</t>
        </is>
      </c>
      <c r="F55" s="48" t="inlineStr">
        <is>
          <t>X</t>
        </is>
      </c>
      <c r="G55" s="48" t="inlineStr">
        <is>
          <t>O</t>
        </is>
      </c>
      <c r="H55" s="48" t="inlineStr">
        <is>
          <t>O</t>
        </is>
      </c>
      <c r="I55" s="48" t="inlineStr">
        <is>
          <t>완료</t>
        </is>
      </c>
      <c r="J55" s="10" t="inlineStr">
        <is>
          <t>선택 STRU + 외부 연결 Assembly</t>
        </is>
      </c>
      <c r="K55" s="48" t="inlineStr">
        <is>
          <t>없음</t>
        </is>
      </c>
      <c r="L55" s="48" t="inlineStr">
        <is>
          <t>X</t>
        </is>
      </c>
      <c r="M55" s="48" t="inlineStr">
        <is>
          <t>O</t>
        </is>
      </c>
      <c r="N55" s="71" t="n">
        <v>46155</v>
      </c>
      <c r="O55" s="71" t="n">
        <v>46227</v>
      </c>
      <c r="P55" s="71" t="n">
        <v>46227</v>
      </c>
      <c r="Q55" s="10" t="inlineStr">
        <is>
          <t>설치도 PDF 자동 출력 완료 확인</t>
        </is>
      </c>
      <c r="R55" s="0" t="n"/>
    </row>
    <row r="56" ht="42" customHeight="1" s="56">
      <c r="A56" s="48" t="n">
        <v>62</v>
      </c>
      <c r="B56" s="48" t="inlineStr">
        <is>
          <t>가공도</t>
        </is>
      </c>
      <c r="C56" s="48" t="inlineStr">
        <is>
          <t>레이아웃·표현</t>
        </is>
      </c>
      <c r="D56" s="10" t="inlineStr">
        <is>
          <t>가공도 EA 두 뷰 배율·표현 일관성</t>
        </is>
      </c>
      <c r="E56" s="48" t="inlineStr">
        <is>
          <t>○</t>
        </is>
      </c>
      <c r="F56" s="48" t="inlineStr">
        <is>
          <t>X</t>
        </is>
      </c>
      <c r="G56" s="48" t="inlineStr">
        <is>
          <t>O</t>
        </is>
      </c>
      <c r="H56" s="48" t="inlineStr">
        <is>
          <t>O</t>
        </is>
      </c>
      <c r="I56" s="48" t="inlineStr">
        <is>
          <t>완료</t>
        </is>
      </c>
      <c r="J56" s="10" t="inlineStr">
        <is>
          <t>EA 두 뷰 배율·길이·두께 표현 일관성 보정 완료</t>
        </is>
      </c>
      <c r="K56" s="48" t="inlineStr">
        <is>
          <t>없음</t>
        </is>
      </c>
      <c r="L56" s="48" t="inlineStr">
        <is>
          <t>X</t>
        </is>
      </c>
      <c r="M56" s="48" t="inlineStr">
        <is>
          <t>O</t>
        </is>
      </c>
      <c r="N56" s="71" t="n">
        <v>46224</v>
      </c>
      <c r="O56" s="71" t="n">
        <v>46227</v>
      </c>
      <c r="P56" s="71" t="n">
        <v>46227</v>
      </c>
      <c r="Q56" s="10" t="inlineStr">
        <is>
          <t>GitHub 종료 기준 완료 반영. 치수·풍선 종이 절대 정규화 실기는 별도 항목으로 관리</t>
        </is>
      </c>
      <c r="R56" s="0" t="n"/>
    </row>
    <row r="57" ht="42" customHeight="1" s="56">
      <c r="A57" s="48" t="n">
        <v>17</v>
      </c>
      <c r="B57" s="48" t="inlineStr">
        <is>
          <t>설치도</t>
        </is>
      </c>
      <c r="C57" s="48" t="inlineStr">
        <is>
          <t>ISO 표현</t>
        </is>
      </c>
      <c r="D57" s="10" t="inlineStr">
        <is>
          <t>도면 연결부재·외부 Assembly 표시</t>
        </is>
      </c>
      <c r="E57" s="48" t="inlineStr">
        <is>
          <t>○</t>
        </is>
      </c>
      <c r="F57" s="48" t="inlineStr">
        <is>
          <t>X</t>
        </is>
      </c>
      <c r="G57" s="48" t="inlineStr">
        <is>
          <t>O</t>
        </is>
      </c>
      <c r="H57" s="48" t="inlineStr">
        <is>
          <t>O</t>
        </is>
      </c>
      <c r="I57" s="48" t="inlineStr">
        <is>
          <t>완료</t>
        </is>
      </c>
      <c r="J57" s="10" t="inlineStr">
        <is>
          <t>InstallationContextIndices + LONG_DASHED</t>
        </is>
      </c>
      <c r="K57" s="48" t="inlineStr">
        <is>
          <t>없음</t>
        </is>
      </c>
      <c r="L57" s="48" t="inlineStr">
        <is>
          <t>X</t>
        </is>
      </c>
      <c r="M57" s="48" t="inlineStr">
        <is>
          <t>O</t>
        </is>
      </c>
      <c r="N57" s="71" t="n">
        <v>46224</v>
      </c>
      <c r="O57" s="71" t="n">
        <v>46229</v>
      </c>
      <c r="P57" s="71" t="n">
        <v>46229</v>
      </c>
      <c r="Q57" s="10" t="inlineStr">
        <is>
          <t>사내 실기 PDF에서 선택 STRU 실선과 연결부재·외부 Assembly 점선 표시 확인 (2026-07-26)</t>
        </is>
      </c>
      <c r="R57" s="0" t="n"/>
    </row>
    <row r="58" ht="42" customHeight="1" s="56">
      <c r="A58" s="48" t="n">
        <v>82</v>
      </c>
      <c r="B58" s="48" t="inlineStr">
        <is>
          <t>가공도</t>
        </is>
      </c>
      <c r="C58" s="48" t="inlineStr">
        <is>
          <t>치수·풍선</t>
        </is>
      </c>
      <c r="D58" s="10" t="inlineStr">
        <is>
          <t>치수·풍선 크기 종이 절대 정규화</t>
        </is>
      </c>
      <c r="E58" s="48" t="inlineStr">
        <is>
          <t>○</t>
        </is>
      </c>
      <c r="F58" s="48" t="inlineStr">
        <is>
          <t>X</t>
        </is>
      </c>
      <c r="G58" s="48" t="inlineStr">
        <is>
          <t>O</t>
        </is>
      </c>
      <c r="H58" s="48" t="inlineStr">
        <is>
          <t>O</t>
        </is>
      </c>
      <c r="I58" s="48" t="inlineStr">
        <is>
          <t>완료</t>
        </is>
      </c>
      <c r="J58" s="10" t="inlineStr">
        <is>
          <t>캔버스 절대 크기 기준 구현과 Debug·Release 빌드 완료</t>
        </is>
      </c>
      <c r="K58" s="48" t="inlineStr">
        <is>
          <t>없음</t>
        </is>
      </c>
      <c r="L58" s="48" t="inlineStr">
        <is>
          <t>X</t>
        </is>
      </c>
      <c r="M58" s="48" t="inlineStr">
        <is>
          <t>O</t>
        </is>
      </c>
      <c r="N58" s="71" t="n">
        <v>46226</v>
      </c>
      <c r="O58" s="71" t="n">
        <v>46229</v>
      </c>
      <c r="P58" s="71" t="n">
        <v>46229</v>
      </c>
      <c r="Q58" s="10" t="inlineStr">
        <is>
          <t>크기 차가 큰 부재 혼합 페이지에서 치수·풍선 종이 크기 일관성 실기 확인 (2026-07-26)</t>
        </is>
      </c>
      <c r="R58" s="0" t="n"/>
    </row>
    <row r="59" ht="42" customHeight="1" s="56">
      <c r="A59" s="48" t="n">
        <v>84</v>
      </c>
      <c r="B59" s="48" t="inlineStr">
        <is>
          <t>공통</t>
        </is>
      </c>
      <c r="C59" s="48" t="inlineStr">
        <is>
          <t>자동화 UX</t>
        </is>
      </c>
      <c r="D59" s="10" t="inlineStr">
        <is>
          <t>치수 추출·도면 출력 취소 응답성·진행률</t>
        </is>
      </c>
      <c r="E59" s="48" t="inlineStr">
        <is>
          <t>X</t>
        </is>
      </c>
      <c r="F59" s="48" t="inlineStr">
        <is>
          <t>○</t>
        </is>
      </c>
      <c r="G59" s="48" t="inlineStr">
        <is>
          <t>O</t>
        </is>
      </c>
      <c r="H59" s="48" t="inlineStr">
        <is>
          <t>해당없음</t>
        </is>
      </c>
      <c r="I59" s="48" t="inlineStr">
        <is>
          <t>완료</t>
        </is>
      </c>
      <c r="J59" s="10" t="inlineStr">
        <is>
          <t>BOM 반복 취소·진행률·대규모 대상 경고 구현과 빌드 완료</t>
        </is>
      </c>
      <c r="K59" s="48" t="inlineStr">
        <is>
          <t>없음</t>
        </is>
      </c>
      <c r="L59" s="48" t="inlineStr">
        <is>
          <t>X</t>
        </is>
      </c>
      <c r="M59" s="48" t="inlineStr">
        <is>
          <t>O</t>
        </is>
      </c>
      <c r="N59" s="71" t="n">
        <v>46226</v>
      </c>
      <c r="O59" s="71" t="n">
        <v>46229</v>
      </c>
      <c r="P59" s="71" t="n">
        <v>46229</v>
      </c>
      <c r="Q59" s="10" t="inlineStr">
        <is>
          <t>대용량 모델에서 취소 반응 속도와 부분 결과 정리 동작 실기 확인 (2026-07-26)</t>
        </is>
      </c>
      <c r="R59" s="0" t="n"/>
    </row>
    <row r="60" ht="42" customHeight="1" s="56">
      <c r="A60" s="48" t="n">
        <v>61</v>
      </c>
      <c r="B60" s="48" t="inlineStr">
        <is>
          <t>가공도</t>
        </is>
      </c>
      <c r="C60" s="48" t="inlineStr">
        <is>
          <t>레이아웃</t>
        </is>
      </c>
      <c r="D60" s="10" t="inlineStr">
        <is>
          <t>가공도 EA 상하 2뷰 배치</t>
        </is>
      </c>
      <c r="E60" s="48" t="inlineStr">
        <is>
          <t>○</t>
        </is>
      </c>
      <c r="F60" s="48" t="inlineStr">
        <is>
          <t>X</t>
        </is>
      </c>
      <c r="G60" s="48" t="inlineStr">
        <is>
          <t>△</t>
        </is>
      </c>
      <c r="H60" s="48" t="inlineStr">
        <is>
          <t>X</t>
        </is>
      </c>
      <c r="I60" s="48" t="inlineStr">
        <is>
          <t>분석 필요</t>
        </is>
      </c>
      <c r="J60" s="10" t="inlineStr">
        <is>
          <t>EA 두 뷰는 있으나 앵글 형강의 촬영 기준면·방향 규칙이 미확정</t>
        </is>
      </c>
      <c r="K60" s="48" t="inlineStr">
        <is>
          <t>앱 개발</t>
        </is>
      </c>
      <c r="L60" s="48" t="inlineStr">
        <is>
          <t>O</t>
        </is>
      </c>
      <c r="M60" s="48" t="inlineStr">
        <is>
          <t>O</t>
        </is>
      </c>
      <c r="N60" s="71" t="n">
        <v>46188</v>
      </c>
      <c r="O60" s="71" t="n"/>
      <c r="P60" s="71" t="n">
        <v>46227</v>
      </c>
      <c r="Q60" s="10" t="inlineStr">
        <is>
          <t>앵글 형강 열린 방향과 미러·뷰 교환 기준을 먼저 확정해야 함</t>
        </is>
      </c>
      <c r="R60" s="0" t="n"/>
    </row>
    <row r="61" ht="42" customHeight="1" s="56">
      <c r="A61" s="8" t="n">
        <v>38</v>
      </c>
      <c r="B61" s="8" t="inlineStr">
        <is>
          <t>제작·조립·설치·가공</t>
        </is>
      </c>
      <c r="C61" s="8" t="inlineStr">
        <is>
          <t>표제부</t>
        </is>
      </c>
      <c r="D61" s="7" t="inlineStr">
        <is>
          <t>긴 Note 처리 정책</t>
        </is>
      </c>
      <c r="E61" s="8" t="inlineStr">
        <is>
          <t>○</t>
        </is>
      </c>
      <c r="F61" s="8" t="inlineStr">
        <is>
          <t>X</t>
        </is>
      </c>
      <c r="G61" s="8" t="inlineStr">
        <is>
          <t>X</t>
        </is>
      </c>
      <c r="H61" s="8" t="inlineStr">
        <is>
          <t>X</t>
        </is>
      </c>
      <c r="I61" s="8" t="inlineStr">
        <is>
          <t>분석 필요</t>
        </is>
      </c>
      <c r="J61" s="7" t="inlineStr">
        <is>
          <t>고정 크기 Note 박스</t>
        </is>
      </c>
      <c r="K61" s="8" t="inlineStr">
        <is>
          <t>사양/API 확인</t>
        </is>
      </c>
      <c r="L61" s="8" t="inlineStr">
        <is>
          <t>O</t>
        </is>
      </c>
      <c r="M61" s="8" t="inlineStr">
        <is>
          <t>O</t>
        </is>
      </c>
      <c r="N61" s="67" t="n"/>
      <c r="O61" s="67" t="n"/>
      <c r="P61" s="67" t="n">
        <v>46224</v>
      </c>
      <c r="Q61" s="7" t="inlineStr">
        <is>
          <t>글자 제한·말줄임·폰트 축소 중 정책 결정 필요</t>
        </is>
      </c>
      <c r="R61" s="0" t="n"/>
    </row>
    <row r="62" ht="42" customHeight="1" s="56">
      <c r="A62" s="48" t="n">
        <v>36</v>
      </c>
      <c r="B62" s="48" t="inlineStr">
        <is>
          <t>제작·조립·설치·가공</t>
        </is>
      </c>
      <c r="C62" s="48" t="inlineStr">
        <is>
          <t>표제부</t>
        </is>
      </c>
      <c r="D62" s="10" t="inlineStr">
        <is>
          <t>Grinding / Welding 공법 표시</t>
        </is>
      </c>
      <c r="E62" s="48" t="inlineStr">
        <is>
          <t>△</t>
        </is>
      </c>
      <c r="F62" s="48" t="inlineStr">
        <is>
          <t>X</t>
        </is>
      </c>
      <c r="G62" s="48" t="inlineStr">
        <is>
          <t>X</t>
        </is>
      </c>
      <c r="H62" s="48" t="inlineStr">
        <is>
          <t>X</t>
        </is>
      </c>
      <c r="I62" s="48" t="inlineStr">
        <is>
          <t>분석 필요</t>
        </is>
      </c>
      <c r="J62" s="10" t="inlineStr">
        <is>
          <t>현재 값 연결 없음</t>
        </is>
      </c>
      <c r="K62" s="48" t="inlineStr">
        <is>
          <t>UDA/업무 규칙</t>
        </is>
      </c>
      <c r="L62" s="48" t="inlineStr">
        <is>
          <t>O</t>
        </is>
      </c>
      <c r="M62" s="48" t="inlineStr">
        <is>
          <t>X</t>
        </is>
      </c>
      <c r="N62" s="71" t="n"/>
      <c r="O62" s="71" t="n"/>
      <c r="P62" s="71" t="n">
        <v>46225</v>
      </c>
      <c r="Q62" s="10" t="inlineStr">
        <is>
          <t>부재별/도면별 공법 데이터 위치 확인 필요</t>
        </is>
      </c>
      <c r="R62" s="0" t="n"/>
    </row>
    <row r="63" ht="42" customHeight="1" s="56">
      <c r="A63" s="48" t="n">
        <v>56</v>
      </c>
      <c r="B63" s="48" t="inlineStr">
        <is>
          <t>가공도</t>
        </is>
      </c>
      <c r="C63" s="48" t="inlineStr">
        <is>
          <t>치수 디자인</t>
        </is>
      </c>
      <c r="D63" s="10" t="inlineStr">
        <is>
          <t>가공도 텍스트-모델 충돌</t>
        </is>
      </c>
      <c r="E63" s="48" t="inlineStr">
        <is>
          <t>X</t>
        </is>
      </c>
      <c r="F63" s="48" t="inlineStr">
        <is>
          <t>○</t>
        </is>
      </c>
      <c r="G63" s="48" t="inlineStr">
        <is>
          <t>X</t>
        </is>
      </c>
      <c r="H63" s="48" t="inlineStr">
        <is>
          <t>X</t>
        </is>
      </c>
      <c r="I63" s="48" t="inlineStr">
        <is>
          <t>분석 필요</t>
        </is>
      </c>
      <c r="J63" s="10" t="inlineStr">
        <is>
          <t>배치 충돌 판정 없음</t>
        </is>
      </c>
      <c r="K63" s="48" t="inlineStr">
        <is>
          <t>앱 개발</t>
        </is>
      </c>
      <c r="L63" s="48" t="inlineStr">
        <is>
          <t>O</t>
        </is>
      </c>
      <c r="M63" s="48" t="inlineStr">
        <is>
          <t>X</t>
        </is>
      </c>
      <c r="N63" s="71" t="n"/>
      <c r="O63" s="71" t="n"/>
      <c r="P63" s="71" t="n">
        <v>46224</v>
      </c>
      <c r="Q63" s="10" t="inlineStr">
        <is>
          <t>생산 정보 자체보다 가독성 디자인 항목</t>
        </is>
      </c>
      <c r="R63" s="0" t="n"/>
    </row>
    <row r="64" ht="42" customHeight="1" s="56">
      <c r="A64" s="48" t="n">
        <v>83</v>
      </c>
      <c r="B64" s="48" t="inlineStr">
        <is>
          <t>공통</t>
        </is>
      </c>
      <c r="C64" s="48" t="inlineStr">
        <is>
          <t>출력 파일명</t>
        </is>
      </c>
      <c r="D64" s="10" t="inlineStr">
        <is>
          <t>자동 저장 PDF 파일명 정규화</t>
        </is>
      </c>
      <c r="E64" s="48" t="inlineStr">
        <is>
          <t>△</t>
        </is>
      </c>
      <c r="F64" s="48" t="inlineStr">
        <is>
          <t>X</t>
        </is>
      </c>
      <c r="G64" s="48" t="inlineStr">
        <is>
          <t>X</t>
        </is>
      </c>
      <c r="H64" s="48" t="inlineStr">
        <is>
          <t>X</t>
        </is>
      </c>
      <c r="I64" s="48" t="inlineStr">
        <is>
          <t>분석 필요</t>
        </is>
      </c>
      <c r="J64" s="10" t="inlineStr">
        <is>
          <t>도면 종류별 자동 저장 경로와 파일명 규칙이 일관되지 않음</t>
        </is>
      </c>
      <c r="K64" s="48" t="inlineStr">
        <is>
          <t>앱 개발</t>
        </is>
      </c>
      <c r="L64" s="48" t="inlineStr">
        <is>
          <t>O</t>
        </is>
      </c>
      <c r="M64" s="48" t="inlineStr">
        <is>
          <t>O</t>
        </is>
      </c>
      <c r="N64" s="71" t="n">
        <v>46227</v>
      </c>
      <c r="O64" s="71" t="n"/>
      <c r="P64" s="71" t="n">
        <v>46227</v>
      </c>
      <c r="Q64" s="10" t="inlineStr">
        <is>
          <t>프로젝트·TAG·도면 종류·개정 번호를 포함할지 명명 규칙 확정 필요</t>
        </is>
      </c>
      <c r="R64" s="0" t="n"/>
    </row>
    <row r="65" ht="42" customHeight="1" s="56">
      <c r="A65" s="48" t="n">
        <v>85</v>
      </c>
      <c r="B65" s="48" t="inlineStr">
        <is>
          <t>가공도</t>
        </is>
      </c>
      <c r="C65" s="48" t="inlineStr">
        <is>
          <t>촬영 방향</t>
        </is>
      </c>
      <c r="D65" s="10" t="inlineStr">
        <is>
          <t>앵글(ㄱ자) 형강 촬영 방향 기준</t>
        </is>
      </c>
      <c r="E65" s="48" t="inlineStr">
        <is>
          <t>○</t>
        </is>
      </c>
      <c r="F65" s="48" t="inlineStr">
        <is>
          <t>X</t>
        </is>
      </c>
      <c r="G65" s="48" t="inlineStr">
        <is>
          <t>△</t>
        </is>
      </c>
      <c r="H65" s="48" t="inlineStr">
        <is>
          <t>X</t>
        </is>
      </c>
      <c r="I65" s="48" t="inlineStr">
        <is>
          <t>분석 필요</t>
        </is>
      </c>
      <c r="J65" s="10" t="inlineStr">
        <is>
          <t>주·보조 카메라가 X_PLUS·Z_MINUS로 고정돼 앵글 열린 방향을 반영하지 못함</t>
        </is>
      </c>
      <c r="K65" s="48" t="inlineStr">
        <is>
          <t>앱 개발</t>
        </is>
      </c>
      <c r="L65" s="48" t="inlineStr">
        <is>
          <t>O</t>
        </is>
      </c>
      <c r="M65" s="48" t="inlineStr">
        <is>
          <t>O</t>
        </is>
      </c>
      <c r="N65" s="71" t="n">
        <v>46227</v>
      </c>
      <c r="O65" s="71" t="n"/>
      <c r="P65" s="71" t="n">
        <v>46227</v>
      </c>
      <c r="Q65" s="10" t="inlineStr">
        <is>
          <t>기준면·열린 방향·미러와 두 뷰 교환 정책을 먼저 확정해야 함</t>
        </is>
      </c>
      <c r="R65" s="0" t="n"/>
    </row>
    <row r="66" ht="42" customHeight="1" s="56">
      <c r="A66" s="8" t="n">
        <v>26</v>
      </c>
      <c r="B66" s="8" t="inlineStr">
        <is>
          <t>제작·조립·설치·가공</t>
        </is>
      </c>
      <c r="C66" s="8" t="inlineStr">
        <is>
          <t>BOM</t>
        </is>
      </c>
      <c r="D66" s="7" t="inlineStr">
        <is>
          <t>SIZE</t>
        </is>
      </c>
      <c r="E66" s="8" t="inlineStr">
        <is>
          <t>○</t>
        </is>
      </c>
      <c r="F66" s="8" t="inlineStr">
        <is>
          <t>X</t>
        </is>
      </c>
      <c r="G66" s="8" t="inlineStr">
        <is>
          <t>△</t>
        </is>
      </c>
      <c r="H66" s="8" t="inlineStr">
        <is>
          <t>대기</t>
        </is>
      </c>
      <c r="I66" s="8" t="inlineStr">
        <is>
          <t>부분 구현</t>
        </is>
      </c>
      <c r="J66" s="7" t="inlineStr">
        <is>
          <t>SPREF 나머지 + POSSTART/POSEND 3D 거리</t>
        </is>
      </c>
      <c r="K66" s="8" t="inlineStr">
        <is>
          <t>UDA/규칙 확정</t>
        </is>
      </c>
      <c r="L66" s="8" t="inlineStr">
        <is>
          <t>O</t>
        </is>
      </c>
      <c r="M66" s="8" t="inlineStr">
        <is>
          <t>X</t>
        </is>
      </c>
      <c r="N66" s="67" t="n">
        <v>46155</v>
      </c>
      <c r="O66" s="67" t="n"/>
      <c r="P66" s="67" t="n">
        <v>46155</v>
      </c>
      <c r="Q66" s="7" t="inlineStr">
        <is>
          <t>현재 숫자 토큰 순서 가정; 생산 형식 검증 필요</t>
        </is>
      </c>
      <c r="R66" s="0" t="n"/>
    </row>
    <row r="67" ht="42" customHeight="1" s="56">
      <c r="A67" s="8" t="n">
        <v>40</v>
      </c>
      <c r="B67" s="8" t="inlineStr">
        <is>
          <t>제작·조립·설치·가공</t>
        </is>
      </c>
      <c r="C67" s="8" t="inlineStr">
        <is>
          <t>표제부</t>
        </is>
      </c>
      <c r="D67" s="7" t="inlineStr">
        <is>
          <t>프로젝트명</t>
        </is>
      </c>
      <c r="E67" s="8" t="inlineStr">
        <is>
          <t>○</t>
        </is>
      </c>
      <c r="F67" s="8" t="inlineStr">
        <is>
          <t>X</t>
        </is>
      </c>
      <c r="G67" s="8" t="inlineStr">
        <is>
          <t>△</t>
        </is>
      </c>
      <c r="H67" s="8" t="inlineStr">
        <is>
          <t>X</t>
        </is>
      </c>
      <c r="I67" s="8" t="inlineStr">
        <is>
          <t>부분 구현</t>
        </is>
      </c>
      <c r="J67" s="7" t="inlineStr">
        <is>
          <t>현재 CEDAR FLNG 하드코딩</t>
        </is>
      </c>
      <c r="K67" s="8" t="inlineStr">
        <is>
          <t>데이터 연결</t>
        </is>
      </c>
      <c r="L67" s="8" t="inlineStr">
        <is>
          <t>O</t>
        </is>
      </c>
      <c r="M67" s="8" t="inlineStr">
        <is>
          <t>X</t>
        </is>
      </c>
      <c r="N67" s="67" t="n">
        <v>46156</v>
      </c>
      <c r="O67" s="67" t="n"/>
      <c r="P67" s="67" t="n">
        <v>46225</v>
      </c>
      <c r="Q67" s="7" t="inlineStr">
        <is>
          <t>프로젝트 메타 또는 UDA 연결 필요</t>
        </is>
      </c>
      <c r="R67" s="0" t="n"/>
    </row>
    <row r="68" ht="42" customHeight="1" s="56">
      <c r="A68" s="8" t="n">
        <v>41</v>
      </c>
      <c r="B68" s="8" t="inlineStr">
        <is>
          <t>제작·조립·설치·가공</t>
        </is>
      </c>
      <c r="C68" s="8" t="inlineStr">
        <is>
          <t>표제부</t>
        </is>
      </c>
      <c r="D68" s="7" t="inlineStr">
        <is>
          <t>선박번호 / Project No</t>
        </is>
      </c>
      <c r="E68" s="8" t="inlineStr">
        <is>
          <t>○</t>
        </is>
      </c>
      <c r="F68" s="8" t="inlineStr">
        <is>
          <t>X</t>
        </is>
      </c>
      <c r="G68" s="8" t="inlineStr">
        <is>
          <t>△</t>
        </is>
      </c>
      <c r="H68" s="8" t="inlineStr">
        <is>
          <t>X</t>
        </is>
      </c>
      <c r="I68" s="8" t="inlineStr">
        <is>
          <t>부분 구현</t>
        </is>
      </c>
      <c r="J68" s="7" t="inlineStr">
        <is>
          <t>현재 SN2688 하드코딩</t>
        </is>
      </c>
      <c r="K68" s="8" t="inlineStr">
        <is>
          <t>데이터 연결</t>
        </is>
      </c>
      <c r="L68" s="8" t="inlineStr">
        <is>
          <t>O</t>
        </is>
      </c>
      <c r="M68" s="8" t="inlineStr">
        <is>
          <t>X</t>
        </is>
      </c>
      <c r="N68" s="67" t="n">
        <v>46156</v>
      </c>
      <c r="O68" s="67" t="n"/>
      <c r="P68" s="67" t="n">
        <v>46225</v>
      </c>
      <c r="Q68" s="7" t="inlineStr">
        <is>
          <t>정식 필드명과 데이터 소스 확정 필요</t>
        </is>
      </c>
      <c r="R68" s="0" t="n"/>
    </row>
    <row r="69" ht="42" customHeight="1" s="56">
      <c r="A69" s="8" t="n">
        <v>42</v>
      </c>
      <c r="B69" s="8" t="inlineStr">
        <is>
          <t>제작·조립·설치</t>
        </is>
      </c>
      <c r="C69" s="8" t="inlineStr">
        <is>
          <t>표제부</t>
        </is>
      </c>
      <c r="D69" s="7" t="inlineStr">
        <is>
          <t>Tag No</t>
        </is>
      </c>
      <c r="E69" s="8" t="inlineStr">
        <is>
          <t>○</t>
        </is>
      </c>
      <c r="F69" s="8" t="inlineStr">
        <is>
          <t>X</t>
        </is>
      </c>
      <c r="G69" s="8" t="inlineStr">
        <is>
          <t>△</t>
        </is>
      </c>
      <c r="H69" s="8" t="inlineStr">
        <is>
          <t>대기</t>
        </is>
      </c>
      <c r="I69" s="8" t="inlineStr">
        <is>
          <t>부분 구현</t>
        </is>
      </c>
      <c r="J69" s="7" t="inlineStr">
        <is>
          <t>조상 UDA STRU → Input 169</t>
        </is>
      </c>
      <c r="K69" s="8" t="inlineStr">
        <is>
          <t>앱 보강</t>
        </is>
      </c>
      <c r="L69" s="8" t="inlineStr">
        <is>
          <t>O</t>
        </is>
      </c>
      <c r="M69" s="8" t="inlineStr">
        <is>
          <t>O</t>
        </is>
      </c>
      <c r="N69" s="67" t="n">
        <v>46224</v>
      </c>
      <c r="O69" s="67" t="n">
        <v>46225</v>
      </c>
      <c r="P69" s="67" t="n">
        <v>46225</v>
      </c>
      <c r="Q69" s="7" t="inlineStr">
        <is>
          <t>테스트 케이스 실기 완료; 음수 BaseMemberIndex 시 공백 가능</t>
        </is>
      </c>
      <c r="R69" s="0" t="n"/>
    </row>
    <row r="70" ht="42" customHeight="1" s="56">
      <c r="A70" s="8" t="n">
        <v>46</v>
      </c>
      <c r="B70" s="8" t="inlineStr">
        <is>
          <t>제작·조립·설치</t>
        </is>
      </c>
      <c r="C70" s="8" t="inlineStr">
        <is>
          <t>이미지</t>
        </is>
      </c>
      <c r="D70" s="7" t="inlineStr">
        <is>
          <t>고객·프로젝트 이미지</t>
        </is>
      </c>
      <c r="E70" s="8" t="inlineStr">
        <is>
          <t>X</t>
        </is>
      </c>
      <c r="F70" s="8" t="inlineStr">
        <is>
          <t>○</t>
        </is>
      </c>
      <c r="G70" s="8" t="inlineStr">
        <is>
          <t>△</t>
        </is>
      </c>
      <c r="H70" s="8" t="inlineStr">
        <is>
          <t>대기</t>
        </is>
      </c>
      <c r="I70" s="8" t="inlineStr">
        <is>
          <t>부분 구현</t>
        </is>
      </c>
      <c r="J70" s="7" t="inlineStr">
        <is>
          <t>{Image_4} + ClientTestImage.png</t>
        </is>
      </c>
      <c r="K70" s="8" t="inlineStr">
        <is>
          <t>데이터/파일 선택</t>
        </is>
      </c>
      <c r="L70" s="8" t="inlineStr">
        <is>
          <t>O</t>
        </is>
      </c>
      <c r="M70" s="8" t="inlineStr">
        <is>
          <t>O</t>
        </is>
      </c>
      <c r="N70" s="67" t="n">
        <v>46224</v>
      </c>
      <c r="O70" s="67" t="n"/>
      <c r="P70" s="67" t="n">
        <v>46225</v>
      </c>
      <c r="Q70" s="7" t="inlineStr">
        <is>
          <t>테스트 이미지 고정, 프로젝트별 공급 방식 미구현</t>
        </is>
      </c>
      <c r="R70" s="0" t="n"/>
    </row>
    <row r="71" ht="42" customHeight="1" s="56">
      <c r="A71" s="8" t="n">
        <v>27</v>
      </c>
      <c r="B71" s="8" t="inlineStr">
        <is>
          <t>제작·조립·설치·가공</t>
        </is>
      </c>
      <c r="C71" s="8" t="inlineStr">
        <is>
          <t>BOM</t>
        </is>
      </c>
      <c r="D71" s="7" t="inlineStr">
        <is>
          <t>Q'TY</t>
        </is>
      </c>
      <c r="E71" s="8" t="inlineStr">
        <is>
          <t>○</t>
        </is>
      </c>
      <c r="F71" s="8" t="inlineStr">
        <is>
          <t>X</t>
        </is>
      </c>
      <c r="G71" s="8" t="inlineStr">
        <is>
          <t>X</t>
        </is>
      </c>
      <c r="H71" s="8" t="inlineStr">
        <is>
          <t>X</t>
        </is>
      </c>
      <c r="I71" s="8" t="inlineStr">
        <is>
          <t>개발 필요</t>
        </is>
      </c>
      <c r="J71" s="7" t="inlineStr">
        <is>
          <t>현재 항상 1</t>
        </is>
      </c>
      <c r="K71" s="8" t="inlineStr">
        <is>
          <t>UDA/집계 규칙</t>
        </is>
      </c>
      <c r="L71" s="8" t="inlineStr">
        <is>
          <t>O</t>
        </is>
      </c>
      <c r="M71" s="8" t="inlineStr">
        <is>
          <t>X</t>
        </is>
      </c>
      <c r="N71" s="67" t="n"/>
      <c r="O71" s="67" t="n"/>
      <c r="P71" s="67" t="n">
        <v>46225</v>
      </c>
      <c r="Q71" s="7" t="inlineStr">
        <is>
          <t>동일 부재 집계 또는 수량 UDA 정의 필요</t>
        </is>
      </c>
      <c r="R71" s="0" t="n"/>
    </row>
    <row r="72" ht="42" customHeight="1" s="56">
      <c r="A72" s="8" t="n">
        <v>29</v>
      </c>
      <c r="B72" s="8" t="inlineStr">
        <is>
          <t>제작·조립·설치·가공</t>
        </is>
      </c>
      <c r="C72" s="8" t="inlineStr">
        <is>
          <t>BOM</t>
        </is>
      </c>
      <c r="D72" s="7" t="inlineStr">
        <is>
          <t>MA</t>
        </is>
      </c>
      <c r="E72" s="8" t="inlineStr">
        <is>
          <t>○</t>
        </is>
      </c>
      <c r="F72" s="8" t="inlineStr">
        <is>
          <t>X</t>
        </is>
      </c>
      <c r="G72" s="8" t="inlineStr">
        <is>
          <t>X</t>
        </is>
      </c>
      <c r="H72" s="8" t="inlineStr">
        <is>
          <t>X</t>
        </is>
      </c>
      <c r="I72" s="8" t="inlineStr">
        <is>
          <t>개발 필요</t>
        </is>
      </c>
      <c r="J72" s="7" t="inlineStr">
        <is>
          <t>현재 데이터행 L, 요약행 F 고정</t>
        </is>
      </c>
      <c r="K72" s="8" t="inlineStr">
        <is>
          <t>UDA/업무 규칙</t>
        </is>
      </c>
      <c r="L72" s="8" t="inlineStr">
        <is>
          <t>O</t>
        </is>
      </c>
      <c r="M72" s="8" t="inlineStr">
        <is>
          <t>X</t>
        </is>
      </c>
      <c r="N72" s="67" t="n"/>
      <c r="O72" s="67" t="n"/>
      <c r="P72" s="67" t="n">
        <v>46225</v>
      </c>
      <c r="Q72" s="7" t="inlineStr">
        <is>
          <t>실제 의미와 데이터 원천 미정</t>
        </is>
      </c>
      <c r="R72" s="0" t="n"/>
    </row>
    <row r="73" ht="42" customHeight="1" s="56">
      <c r="A73" s="8" t="n">
        <v>30</v>
      </c>
      <c r="B73" s="8" t="inlineStr">
        <is>
          <t>제작·조립·설치·가공</t>
        </is>
      </c>
      <c r="C73" s="8" t="inlineStr">
        <is>
          <t>BOM</t>
        </is>
      </c>
      <c r="D73" s="7" t="inlineStr">
        <is>
          <t>FA</t>
        </is>
      </c>
      <c r="E73" s="8" t="inlineStr">
        <is>
          <t>○</t>
        </is>
      </c>
      <c r="F73" s="8" t="inlineStr">
        <is>
          <t>X</t>
        </is>
      </c>
      <c r="G73" s="8" t="inlineStr">
        <is>
          <t>X</t>
        </is>
      </c>
      <c r="H73" s="8" t="inlineStr">
        <is>
          <t>X</t>
        </is>
      </c>
      <c r="I73" s="8" t="inlineStr">
        <is>
          <t>개발 필요</t>
        </is>
      </c>
      <c r="J73" s="7" t="inlineStr">
        <is>
          <t>현재 항상 F</t>
        </is>
      </c>
      <c r="K73" s="8" t="inlineStr">
        <is>
          <t>UDA/업무 규칙</t>
        </is>
      </c>
      <c r="L73" s="8" t="inlineStr">
        <is>
          <t>O</t>
        </is>
      </c>
      <c r="M73" s="8" t="inlineStr">
        <is>
          <t>X</t>
        </is>
      </c>
      <c r="N73" s="67" t="n"/>
      <c r="O73" s="67" t="n"/>
      <c r="P73" s="67" t="n">
        <v>46225</v>
      </c>
      <c r="Q73" s="7" t="inlineStr">
        <is>
          <t>실제 의미와 데이터 원천 미정</t>
        </is>
      </c>
    </row>
    <row r="74" ht="42" customHeight="1" s="56">
      <c r="A74" s="8" t="n">
        <v>35</v>
      </c>
      <c r="B74" s="8" t="inlineStr">
        <is>
          <t>제작·조립·설치·가공</t>
        </is>
      </c>
      <c r="C74" s="8" t="inlineStr">
        <is>
          <t>표제부</t>
        </is>
      </c>
      <c r="D74" s="7" t="inlineStr">
        <is>
          <t>PNOD / No Paint 표시</t>
        </is>
      </c>
      <c r="E74" s="8" t="inlineStr">
        <is>
          <t>○</t>
        </is>
      </c>
      <c r="F74" s="8" t="inlineStr">
        <is>
          <t>X</t>
        </is>
      </c>
      <c r="G74" s="8" t="inlineStr">
        <is>
          <t>X</t>
        </is>
      </c>
      <c r="H74" s="8" t="inlineStr">
        <is>
          <t>X</t>
        </is>
      </c>
      <c r="I74" s="8" t="inlineStr">
        <is>
          <t>개발 필요</t>
        </is>
      </c>
      <c r="J74" s="7" t="inlineStr">
        <is>
          <t>현재 값 연결 없음</t>
        </is>
      </c>
      <c r="K74" s="8" t="inlineStr">
        <is>
          <t>UDA/업무 규칙</t>
        </is>
      </c>
      <c r="L74" s="8" t="inlineStr">
        <is>
          <t>O</t>
        </is>
      </c>
      <c r="M74" s="8" t="inlineStr">
        <is>
          <t>X</t>
        </is>
      </c>
      <c r="N74" s="67" t="n"/>
      <c r="O74" s="67" t="n"/>
      <c r="P74" s="67" t="n">
        <v>46225</v>
      </c>
      <c r="Q74" s="7" t="inlineStr">
        <is>
          <t>기존 파일의 생산 필수 항목; Paint와 함께 정의 필요</t>
        </is>
      </c>
    </row>
    <row r="75" ht="42" customHeight="1" s="56">
      <c r="A75" s="8" t="n">
        <v>37</v>
      </c>
      <c r="B75" s="8" t="inlineStr">
        <is>
          <t>제작·조립·설치·가공</t>
        </is>
      </c>
      <c r="C75" s="8" t="inlineStr">
        <is>
          <t>표제부</t>
        </is>
      </c>
      <c r="D75" s="7" t="inlineStr">
        <is>
          <t>Note 입력·저장·출력</t>
        </is>
      </c>
      <c r="E75" s="8" t="inlineStr">
        <is>
          <t>○</t>
        </is>
      </c>
      <c r="F75" s="8" t="inlineStr">
        <is>
          <t>X</t>
        </is>
      </c>
      <c r="G75" s="8" t="inlineStr">
        <is>
          <t>X</t>
        </is>
      </c>
      <c r="H75" s="8" t="inlineStr">
        <is>
          <t>X</t>
        </is>
      </c>
      <c r="I75" s="8" t="inlineStr">
        <is>
          <t>개발 필요</t>
        </is>
      </c>
      <c r="J75" s="7" t="inlineStr">
        <is>
          <t>Input 164/200 칸은 있으나 입력 소스 없음</t>
        </is>
      </c>
      <c r="K75" s="8" t="inlineStr">
        <is>
          <t>앱 개발</t>
        </is>
      </c>
      <c r="L75" s="8" t="inlineStr">
        <is>
          <t>O</t>
        </is>
      </c>
      <c r="M75" s="8" t="inlineStr">
        <is>
          <t>O</t>
        </is>
      </c>
      <c r="N75" s="67" t="n">
        <v>46213</v>
      </c>
      <c r="O75" s="67" t="n"/>
      <c r="P75" s="67" t="n">
        <v>46225</v>
      </c>
      <c r="Q75" s="7" t="inlineStr">
        <is>
          <t>UI·저장 모델·출력 배선이 모두 필요</t>
        </is>
      </c>
    </row>
    <row r="76" ht="42" customHeight="1" s="56">
      <c r="A76" s="8" t="n">
        <v>39</v>
      </c>
      <c r="B76" s="8" t="inlineStr">
        <is>
          <t>제작·조립·설치·가공</t>
        </is>
      </c>
      <c r="C76" s="8" t="inlineStr">
        <is>
          <t>표제부</t>
        </is>
      </c>
      <c r="D76" s="7" t="inlineStr">
        <is>
          <t>Rev 입력·이력·출력</t>
        </is>
      </c>
      <c r="E76" s="8" t="inlineStr">
        <is>
          <t>○</t>
        </is>
      </c>
      <c r="F76" s="8" t="inlineStr">
        <is>
          <t>X</t>
        </is>
      </c>
      <c r="G76" s="8" t="inlineStr">
        <is>
          <t>X</t>
        </is>
      </c>
      <c r="H76" s="8" t="inlineStr">
        <is>
          <t>X</t>
        </is>
      </c>
      <c r="I76" s="8" t="inlineStr">
        <is>
          <t>개발 필요</t>
        </is>
      </c>
      <c r="J76" s="7" t="inlineStr">
        <is>
          <t>Input 170~199 Rev 표 자리만 존재</t>
        </is>
      </c>
      <c r="K76" s="8" t="inlineStr">
        <is>
          <t>앱 개발</t>
        </is>
      </c>
      <c r="L76" s="8" t="inlineStr">
        <is>
          <t>O</t>
        </is>
      </c>
      <c r="M76" s="8" t="inlineStr">
        <is>
          <t>X</t>
        </is>
      </c>
      <c r="N76" s="67" t="n">
        <v>46213</v>
      </c>
      <c r="O76" s="67" t="n"/>
      <c r="P76" s="67" t="n">
        <v>46225</v>
      </c>
      <c r="Q76" s="7" t="inlineStr">
        <is>
          <t>Revision 번호/일자/작성자/변경내용 규칙 필요</t>
        </is>
      </c>
    </row>
    <row r="77" ht="42" customHeight="1" s="56">
      <c r="A77" s="50" t="n">
        <v>43</v>
      </c>
      <c r="B77" s="50" t="inlineStr">
        <is>
          <t>제작·조립·설치</t>
        </is>
      </c>
      <c r="C77" s="50" t="inlineStr">
        <is>
          <t>표제부</t>
        </is>
      </c>
      <c r="D77" s="51" t="inlineStr">
        <is>
          <t>DP No</t>
        </is>
      </c>
      <c r="E77" s="50" t="inlineStr">
        <is>
          <t>○</t>
        </is>
      </c>
      <c r="F77" s="50" t="inlineStr">
        <is>
          <t>X</t>
        </is>
      </c>
      <c r="G77" s="50" t="inlineStr">
        <is>
          <t>X</t>
        </is>
      </c>
      <c r="H77" s="50" t="inlineStr">
        <is>
          <t>X</t>
        </is>
      </c>
      <c r="I77" s="50" t="inlineStr">
        <is>
          <t>개발 필요</t>
        </is>
      </c>
      <c r="J77" s="51" t="inlineStr">
        <is>
          <t>현재 Test 하드코딩 → Input 168</t>
        </is>
      </c>
      <c r="K77" s="50" t="inlineStr">
        <is>
          <t>UDA/데이터 연결</t>
        </is>
      </c>
      <c r="L77" s="50" t="inlineStr">
        <is>
          <t>O</t>
        </is>
      </c>
      <c r="M77" s="50" t="inlineStr">
        <is>
          <t>O</t>
        </is>
      </c>
      <c r="N77" s="72" t="n">
        <v>46224</v>
      </c>
      <c r="O77" s="72" t="n"/>
      <c r="P77" s="72" t="n">
        <v>46225</v>
      </c>
      <c r="Q77" s="51" t="inlineStr">
        <is>
          <t>Test 값 출력은 확인했지만 정식 생산 데이터 연결은 미완료</t>
        </is>
      </c>
    </row>
    <row r="78" ht="42" customHeight="1" s="56">
      <c r="A78" s="50" t="n">
        <v>73</v>
      </c>
      <c r="B78" s="50" t="inlineStr">
        <is>
          <t>공통</t>
        </is>
      </c>
      <c r="C78" s="50" t="inlineStr">
        <is>
          <t>화면 디자인</t>
        </is>
      </c>
      <c r="D78" s="51" t="inlineStr">
        <is>
          <t>왼쪽 탭·테이블 디자인 개선</t>
        </is>
      </c>
      <c r="E78" s="50" t="inlineStr">
        <is>
          <t>X</t>
        </is>
      </c>
      <c r="F78" s="50" t="inlineStr">
        <is>
          <t>○</t>
        </is>
      </c>
      <c r="G78" s="50" t="inlineStr">
        <is>
          <t>X</t>
        </is>
      </c>
      <c r="H78" s="50" t="inlineStr">
        <is>
          <t>해당없음</t>
        </is>
      </c>
      <c r="I78" s="50" t="inlineStr">
        <is>
          <t>개발 대기</t>
        </is>
      </c>
      <c r="J78" s="51" t="inlineStr">
        <is>
          <t>왼쪽 탭·테이블과 STRU 검색 상자의 배치·가독성 개선 필요</t>
        </is>
      </c>
      <c r="K78" s="50" t="inlineStr">
        <is>
          <t>앱 개발</t>
        </is>
      </c>
      <c r="L78" s="50" t="inlineStr">
        <is>
          <t>O</t>
        </is>
      </c>
      <c r="M78" s="50" t="inlineStr">
        <is>
          <t>X</t>
        </is>
      </c>
      <c r="N78" s="72" t="n"/>
      <c r="O78" s="72" t="n"/>
      <c r="P78" s="72" t="n">
        <v>46227</v>
      </c>
      <c r="Q78" s="51" t="inlineStr">
        <is>
          <t>탭 선택 상태, 표 헤더·행·테두리와 검색 상자 위치를 함께 재설계</t>
        </is>
      </c>
    </row>
    <row r="79" ht="42" customHeight="1" s="56">
      <c r="A79" s="50" t="n">
        <v>67</v>
      </c>
      <c r="B79" s="50" t="inlineStr">
        <is>
          <t>공통</t>
        </is>
      </c>
      <c r="C79" s="50" t="inlineStr">
        <is>
          <t>최종 산출물</t>
        </is>
      </c>
      <c r="D79" s="51" t="inlineStr">
        <is>
          <t>제작도·가공도·설치도 최종 생산 출력</t>
        </is>
      </c>
      <c r="E79" s="50" t="inlineStr">
        <is>
          <t>○</t>
        </is>
      </c>
      <c r="F79" s="50" t="inlineStr">
        <is>
          <t>X</t>
        </is>
      </c>
      <c r="G79" s="50" t="inlineStr">
        <is>
          <t>△</t>
        </is>
      </c>
      <c r="H79" s="50" t="inlineStr">
        <is>
          <t>X</t>
        </is>
      </c>
      <c r="I79" s="50" t="inlineStr">
        <is>
          <t>개발 중</t>
        </is>
      </c>
      <c r="J79" s="51" t="inlineStr">
        <is>
          <t>제작도·가공도·설치도 최종 PDF와 메뉴얼·룰북 설명 자료 생성 중</t>
        </is>
      </c>
      <c r="K79" s="50" t="inlineStr">
        <is>
          <t>산출물 생성</t>
        </is>
      </c>
      <c r="L79" s="50" t="inlineStr">
        <is>
          <t>O</t>
        </is>
      </c>
      <c r="M79" s="50" t="inlineStr">
        <is>
          <t>O</t>
        </is>
      </c>
      <c r="N79" s="72" t="n">
        <v>46155</v>
      </c>
      <c r="O79" s="72" t="n"/>
      <c r="P79" s="72" t="n">
        <v>46227</v>
      </c>
      <c r="Q79" s="51" t="inlineStr">
        <is>
          <t>코드 개발보다 최종 생산 PDF·설명 자료·프로젝트 이미지 산출물을 생성하는 단계</t>
        </is>
      </c>
    </row>
    <row r="80" ht="42" customHeight="1" s="56">
      <c r="A80" s="50" t="n">
        <v>74</v>
      </c>
      <c r="B80" s="50" t="inlineStr">
        <is>
          <t>제작·가공</t>
        </is>
      </c>
      <c r="C80" s="50" t="inlineStr">
        <is>
          <t>치수 디자인</t>
        </is>
      </c>
      <c r="D80" s="51" t="inlineStr">
        <is>
          <t>작은 치수 텍스트 이동 시 치수선 길이 제어</t>
        </is>
      </c>
      <c r="E80" s="50" t="inlineStr">
        <is>
          <t>X</t>
        </is>
      </c>
      <c r="F80" s="50" t="inlineStr">
        <is>
          <t>○</t>
        </is>
      </c>
      <c r="G80" s="50" t="inlineStr">
        <is>
          <t>X</t>
        </is>
      </c>
      <c r="H80" s="50" t="inlineStr">
        <is>
          <t>해당없음</t>
        </is>
      </c>
      <c r="I80" s="50" t="inlineStr">
        <is>
          <t>API 요청 필요</t>
        </is>
      </c>
      <c r="J80" s="51" t="inlineStr">
        <is>
          <t>SetMeasureItemDistanceTextPos 사용 시 치수선이 양쪽으로 과도하게 연장</t>
        </is>
      </c>
      <c r="K80" s="50" t="inlineStr">
        <is>
          <t>API 요청</t>
        </is>
      </c>
      <c r="L80" s="50" t="inlineStr">
        <is>
          <t>X</t>
        </is>
      </c>
      <c r="M80" s="50" t="inlineStr">
        <is>
          <t>X</t>
        </is>
      </c>
      <c r="N80" s="72" t="n"/>
      <c r="O80" s="72" t="n"/>
      <c r="P80" s="72" t="n">
        <v>46225</v>
      </c>
      <c r="Q80" s="51" t="inlineStr">
        <is>
          <t>버그가 아닌 낮은 우선순위 개선 요청이며 아직 API 요청을 전달하지 않음</t>
        </is>
      </c>
    </row>
    <row r="81" ht="42" customHeight="1" s="56">
      <c r="A81" s="50" t="n">
        <v>80</v>
      </c>
      <c r="B81" s="50" t="inlineStr">
        <is>
          <t>제작·설치</t>
        </is>
      </c>
      <c r="C81" s="50" t="inlineStr">
        <is>
          <t>ISO 풍선 API</t>
        </is>
      </c>
      <c r="D81" s="51" t="inlineStr">
        <is>
          <t>연결부재 이름 풍선 상단·하단 방향 지정</t>
        </is>
      </c>
      <c r="E81" s="50" t="inlineStr">
        <is>
          <t>X</t>
        </is>
      </c>
      <c r="F81" s="50" t="inlineStr">
        <is>
          <t>○</t>
        </is>
      </c>
      <c r="G81" s="50" t="inlineStr">
        <is>
          <t>X</t>
        </is>
      </c>
      <c r="H81" s="50" t="inlineStr">
        <is>
          <t>해당없음</t>
        </is>
      </c>
      <c r="I81" s="50" t="inlineStr">
        <is>
          <t>API 요청 필요</t>
        </is>
      </c>
      <c r="J81" s="51" t="inlineStr">
        <is>
          <t>SDK 자동 배치는 상·하·좌·우 네 방향을 임의 사용</t>
        </is>
      </c>
      <c r="K81" s="50" t="inlineStr">
        <is>
          <t>API 요청</t>
        </is>
      </c>
      <c r="L81" s="50" t="inlineStr">
        <is>
          <t>X</t>
        </is>
      </c>
      <c r="M81" s="50" t="inlineStr">
        <is>
          <t>O</t>
        </is>
      </c>
      <c r="N81" s="72" t="n">
        <v>46226</v>
      </c>
      <c r="O81" s="72" t="n"/>
      <c r="P81" s="72" t="n">
        <v>46226</v>
      </c>
      <c r="Q81" s="51" t="inlineStr">
        <is>
          <t>연결부재 이름 풍선을 상단·하단 영역으로 제한하는 API 요청 필요</t>
        </is>
      </c>
    </row>
    <row r="82" ht="42" customHeight="1" s="56">
      <c r="A82" s="50" t="n">
        <v>54</v>
      </c>
      <c r="B82" s="50" t="inlineStr">
        <is>
          <t>가공도</t>
        </is>
      </c>
      <c r="C82" s="50" t="inlineStr">
        <is>
          <t>형상</t>
        </is>
      </c>
      <c r="D82" s="51" t="inlineStr">
        <is>
          <t>라운드 표시</t>
        </is>
      </c>
      <c r="E82" s="50" t="inlineStr">
        <is>
          <t>○</t>
        </is>
      </c>
      <c r="F82" s="50" t="inlineStr">
        <is>
          <t>X</t>
        </is>
      </c>
      <c r="G82" s="50" t="inlineStr">
        <is>
          <t>X</t>
        </is>
      </c>
      <c r="H82" s="50" t="inlineStr">
        <is>
          <t>X</t>
        </is>
      </c>
      <c r="I82" s="50" t="inlineStr">
        <is>
          <t>API 대기</t>
        </is>
      </c>
      <c r="J82" s="51" t="inlineStr">
        <is>
          <t>라운드·필렛 판정 조건을 전달하고 형상 검출 API를 기다리는 상태</t>
        </is>
      </c>
      <c r="K82" s="50" t="inlineStr">
        <is>
          <t>API 대기</t>
        </is>
      </c>
      <c r="L82" s="50" t="inlineStr">
        <is>
          <t>O</t>
        </is>
      </c>
      <c r="M82" s="50" t="inlineStr">
        <is>
          <t>X</t>
        </is>
      </c>
      <c r="N82" s="72" t="n"/>
      <c r="O82" s="72" t="n"/>
      <c r="P82" s="72" t="n">
        <v>46227</v>
      </c>
      <c r="Q82" s="51" t="inlineStr">
        <is>
          <t>필터링 조건을 정리하면서 8월 API 수정·배포를 기다림</t>
        </is>
      </c>
    </row>
    <row r="83" ht="42" customHeight="1" s="56">
      <c r="A83" s="50" t="n">
        <v>55</v>
      </c>
      <c r="B83" s="50" t="inlineStr">
        <is>
          <t>가공도</t>
        </is>
      </c>
      <c r="C83" s="50" t="inlineStr">
        <is>
          <t>형상</t>
        </is>
      </c>
      <c r="D83" s="51" t="inlineStr">
        <is>
          <t>모떼기(챔퍼) 표현</t>
        </is>
      </c>
      <c r="E83" s="50" t="inlineStr">
        <is>
          <t>○</t>
        </is>
      </c>
      <c r="F83" s="50" t="inlineStr">
        <is>
          <t>X</t>
        </is>
      </c>
      <c r="G83" s="50" t="inlineStr">
        <is>
          <t>X</t>
        </is>
      </c>
      <c r="H83" s="50" t="inlineStr">
        <is>
          <t>X</t>
        </is>
      </c>
      <c r="I83" s="50" t="inlineStr">
        <is>
          <t>API 대기</t>
        </is>
      </c>
      <c r="J83" s="51" t="inlineStr">
        <is>
          <t>모떼기·챔퍼 판정 조건을 전달하고 형상 검출 API를 기다리는 상태</t>
        </is>
      </c>
      <c r="K83" s="50" t="inlineStr">
        <is>
          <t>API 대기</t>
        </is>
      </c>
      <c r="L83" s="50" t="inlineStr">
        <is>
          <t>O</t>
        </is>
      </c>
      <c r="M83" s="50" t="inlineStr">
        <is>
          <t>X</t>
        </is>
      </c>
      <c r="N83" s="72" t="n"/>
      <c r="O83" s="72" t="n"/>
      <c r="P83" s="72" t="n">
        <v>46227</v>
      </c>
      <c r="Q83" s="51" t="inlineStr">
        <is>
          <t>필터링 조건을 정리하면서 8월 API 수정·배포를 기다림</t>
        </is>
      </c>
    </row>
    <row r="84" ht="42" customHeight="1" s="56">
      <c r="A84" s="50" t="n">
        <v>53</v>
      </c>
      <c r="B84" s="50" t="inlineStr">
        <is>
          <t>공통</t>
        </is>
      </c>
      <c r="C84" s="50" t="inlineStr">
        <is>
          <t>치수 디자인</t>
        </is>
      </c>
      <c r="D84" s="51" t="inlineStr">
        <is>
          <t>치수 텍스트 겹침 회피</t>
        </is>
      </c>
      <c r="E84" s="50" t="inlineStr">
        <is>
          <t>X</t>
        </is>
      </c>
      <c r="F84" s="50" t="inlineStr">
        <is>
          <t>○</t>
        </is>
      </c>
      <c r="G84" s="50" t="inlineStr">
        <is>
          <t>X</t>
        </is>
      </c>
      <c r="H84" s="50" t="inlineStr">
        <is>
          <t>X</t>
        </is>
      </c>
      <c r="I84" s="50" t="inlineStr">
        <is>
          <t>API 대기</t>
        </is>
      </c>
      <c r="J84" s="51" t="inlineStr">
        <is>
          <t>앱의 간격 보정만으로는 치수 문자 충돌을 완전히 방지하지 못함</t>
        </is>
      </c>
      <c r="K84" s="50" t="inlineStr">
        <is>
          <t>API 보강</t>
        </is>
      </c>
      <c r="L84" s="50" t="inlineStr">
        <is>
          <t>O</t>
        </is>
      </c>
      <c r="M84" s="50" t="inlineStr">
        <is>
          <t>O</t>
        </is>
      </c>
      <c r="N84" s="72" t="n">
        <v>46154</v>
      </c>
      <c r="O84" s="72" t="n"/>
      <c r="P84" s="72" t="n">
        <v>46226</v>
      </c>
      <c r="Q84" s="51" t="inlineStr">
        <is>
          <t>충돌 결과 조회와 치수 문자 겹침 방지 API 보강을 기다리는 상태</t>
        </is>
      </c>
    </row>
    <row r="85" ht="42" customHeight="1" s="56">
      <c r="A85" s="50" t="n">
        <v>52</v>
      </c>
      <c r="B85" s="50" t="inlineStr">
        <is>
          <t>제작·조립·설치</t>
        </is>
      </c>
      <c r="C85" s="50" t="inlineStr">
        <is>
          <t>치수</t>
        </is>
      </c>
      <c r="D85" s="51" t="inlineStr">
        <is>
          <t>부재 접합 각도 표시</t>
        </is>
      </c>
      <c r="E85" s="50" t="inlineStr">
        <is>
          <t>○</t>
        </is>
      </c>
      <c r="F85" s="50" t="inlineStr">
        <is>
          <t>X</t>
        </is>
      </c>
      <c r="G85" s="50" t="inlineStr">
        <is>
          <t>△</t>
        </is>
      </c>
      <c r="H85" s="50" t="inlineStr">
        <is>
          <t>X</t>
        </is>
      </c>
      <c r="I85" s="50" t="inlineStr">
        <is>
          <t>API 대기</t>
        </is>
      </c>
      <c r="J85" s="51" t="inlineStr">
        <is>
          <t>공식 API를 기다리면서 앱의 Osnap 기반 접합 각도 구현을 병행</t>
        </is>
      </c>
      <c r="K85" s="50" t="inlineStr">
        <is>
          <t>API 대기</t>
        </is>
      </c>
      <c r="L85" s="50" t="inlineStr">
        <is>
          <t>O</t>
        </is>
      </c>
      <c r="M85" s="50" t="inlineStr">
        <is>
          <t>O</t>
        </is>
      </c>
      <c r="N85" s="72" t="n">
        <v>46196</v>
      </c>
      <c r="O85" s="72" t="n"/>
      <c r="P85" s="72" t="n">
        <v>46227</v>
      </c>
      <c r="Q85" s="51" t="inlineStr">
        <is>
          <t>8월 API 배포를 기다리되 자체 구현을 예각·사선 부재로 계속 검증·보완</t>
        </is>
      </c>
    </row>
    <row r="86" ht="42" customHeight="1" s="56">
      <c r="A86" s="50" t="n">
        <v>14</v>
      </c>
      <c r="B86" s="50" t="inlineStr">
        <is>
          <t>공통</t>
        </is>
      </c>
      <c r="C86" s="50" t="inlineStr">
        <is>
          <t>뷰</t>
        </is>
      </c>
      <c r="D86" s="51" t="inlineStr">
        <is>
          <t>2D Drawing 선·홀·모서리 미표시</t>
        </is>
      </c>
      <c r="E86" s="50" t="inlineStr">
        <is>
          <t>○</t>
        </is>
      </c>
      <c r="F86" s="50" t="inlineStr">
        <is>
          <t>X</t>
        </is>
      </c>
      <c r="G86" s="50" t="inlineStr">
        <is>
          <t>△</t>
        </is>
      </c>
      <c r="H86" s="50" t="inlineStr">
        <is>
          <t>X</t>
        </is>
      </c>
      <c r="I86" s="50" t="inlineStr">
        <is>
          <t>API 대기</t>
        </is>
      </c>
      <c r="J86" s="51" t="inlineStr">
        <is>
          <t>일부 부재의 실선·은선·모서리·홀 형상이 2D에서 누락</t>
        </is>
      </c>
      <c r="K86" s="50" t="inlineStr">
        <is>
          <t>API 수정</t>
        </is>
      </c>
      <c r="L86" s="50" t="inlineStr">
        <is>
          <t>O</t>
        </is>
      </c>
      <c r="M86" s="50" t="inlineStr">
        <is>
          <t>X</t>
        </is>
      </c>
      <c r="N86" s="72" t="n">
        <v>46160</v>
      </c>
      <c r="O86" s="72" t="n"/>
      <c r="P86" s="72" t="n">
        <v>46226</v>
      </c>
      <c r="Q86" s="51" t="inlineStr">
        <is>
          <t>형상 누락 API 수정본과 배포 일정을 기다리는 상태</t>
        </is>
      </c>
    </row>
    <row r="87" ht="42" customHeight="1" s="56">
      <c r="A87" s="50" t="n">
        <v>64</v>
      </c>
      <c r="B87" s="50" t="inlineStr">
        <is>
          <t>가공도</t>
        </is>
      </c>
      <c r="C87" s="50" t="inlineStr">
        <is>
          <t>뷰</t>
        </is>
      </c>
      <c r="D87" s="51" t="inlineStr">
        <is>
          <t>단면 위주 출력·은선 정책</t>
        </is>
      </c>
      <c r="E87" s="50" t="inlineStr">
        <is>
          <t>○</t>
        </is>
      </c>
      <c r="F87" s="50" t="inlineStr">
        <is>
          <t>X</t>
        </is>
      </c>
      <c r="G87" s="50" t="inlineStr">
        <is>
          <t>△</t>
        </is>
      </c>
      <c r="H87" s="50" t="inlineStr">
        <is>
          <t>X</t>
        </is>
      </c>
      <c r="I87" s="50" t="inlineStr">
        <is>
          <t>API 대기</t>
        </is>
      </c>
      <c r="J87" s="51" t="inlineStr">
        <is>
          <t>2D 변환 결과에서 모서리·홀 등 일부 형상이 누락</t>
        </is>
      </c>
      <c r="K87" s="50" t="inlineStr">
        <is>
          <t>API 수정</t>
        </is>
      </c>
      <c r="L87" s="50" t="inlineStr">
        <is>
          <t>O</t>
        </is>
      </c>
      <c r="M87" s="50" t="inlineStr">
        <is>
          <t>X</t>
        </is>
      </c>
      <c r="N87" s="72" t="n">
        <v>46206</v>
      </c>
      <c r="O87" s="72" t="n"/>
      <c r="P87" s="72" t="n">
        <v>46226</v>
      </c>
      <c r="Q87" s="51" t="inlineStr">
        <is>
          <t>실선·은선·모서리·홀 누락을 함께 다루는 API 수정본 대기</t>
        </is>
      </c>
    </row>
    <row r="88" ht="42" customHeight="1" s="56">
      <c r="A88" s="50" t="n">
        <v>71</v>
      </c>
      <c r="B88" s="50" t="inlineStr">
        <is>
          <t>제작·조립·설치·가공</t>
        </is>
      </c>
      <c r="C88" s="50" t="inlineStr">
        <is>
          <t>템플릿 API</t>
        </is>
      </c>
      <c r="D88" s="51" t="inlineStr">
        <is>
          <t>템플릿 텍스트 Bold 적용 API</t>
        </is>
      </c>
      <c r="E88" s="50" t="inlineStr">
        <is>
          <t>X</t>
        </is>
      </c>
      <c r="F88" s="50" t="inlineStr">
        <is>
          <t>○</t>
        </is>
      </c>
      <c r="G88" s="50" t="inlineStr">
        <is>
          <t>X</t>
        </is>
      </c>
      <c r="H88" s="50" t="inlineStr">
        <is>
          <t>X</t>
        </is>
      </c>
      <c r="I88" s="50" t="inlineStr">
        <is>
          <t>API 대기</t>
        </is>
      </c>
      <c r="J88" s="51" t="inlineStr">
        <is>
          <t>템플릿 출력 시 특정 텍스트의 Bold 속성을 코드에서 지정할 수 없음</t>
        </is>
      </c>
      <c r="K88" s="50" t="inlineStr">
        <is>
          <t>API 보강</t>
        </is>
      </c>
      <c r="L88" s="50" t="inlineStr">
        <is>
          <t>X</t>
        </is>
      </c>
      <c r="M88" s="50" t="inlineStr">
        <is>
          <t>O</t>
        </is>
      </c>
      <c r="N88" s="72" t="n"/>
      <c r="O88" s="72" t="n"/>
      <c r="P88" s="72" t="n">
        <v>46225</v>
      </c>
      <c r="Q88" s="51" t="inlineStr">
        <is>
          <t>도면 제목·표제부 등 선택 텍스트에 Bold를 적용할 수 있는 API 필요</t>
        </is>
      </c>
    </row>
    <row r="89" ht="42" customHeight="1" s="56">
      <c r="A89" s="50" t="n">
        <v>79</v>
      </c>
      <c r="B89" s="50" t="inlineStr">
        <is>
          <t>제작도</t>
        </is>
      </c>
      <c r="C89" s="50" t="inlineStr">
        <is>
          <t>치수 API</t>
        </is>
      </c>
      <c r="D89" s="51" t="inlineStr">
        <is>
          <t>UserAxis 2D 치수 문자 각도 보정</t>
        </is>
      </c>
      <c r="E89" s="50" t="inlineStr">
        <is>
          <t>○</t>
        </is>
      </c>
      <c r="F89" s="50" t="inlineStr">
        <is>
          <t>X</t>
        </is>
      </c>
      <c r="G89" s="50" t="inlineStr">
        <is>
          <t>△</t>
        </is>
      </c>
      <c r="H89" s="50" t="inlineStr">
        <is>
          <t>X</t>
        </is>
      </c>
      <c r="I89" s="50" t="inlineStr">
        <is>
          <t>API 대기</t>
        </is>
      </c>
      <c r="J89" s="51" t="inlineStr">
        <is>
          <t>ReferenceAxis 정렬은 완료됐지만 치수 숫자만 ±45°로 기울어짐</t>
        </is>
      </c>
      <c r="K89" s="50" t="inlineStr">
        <is>
          <t>API 수정</t>
        </is>
      </c>
      <c r="L89" s="50" t="inlineStr">
        <is>
          <t>O</t>
        </is>
      </c>
      <c r="M89" s="50" t="inlineStr">
        <is>
          <t>O</t>
        </is>
      </c>
      <c r="N89" s="72" t="n">
        <v>46226</v>
      </c>
      <c r="O89" s="72" t="n"/>
      <c r="P89" s="72" t="n">
        <v>46227</v>
      </c>
      <c r="Q89" s="51" t="inlineStr">
        <is>
          <t>참조축 정렬과 분리해 화면 수평 고정 또는 문자 회전각 제어 API만 대기</t>
        </is>
      </c>
    </row>
    <row r="90" ht="42" customHeight="1" s="56">
      <c r="A90" s="50" t="n">
        <v>81</v>
      </c>
      <c r="B90" s="50" t="inlineStr">
        <is>
          <t>제작·가공</t>
        </is>
      </c>
      <c r="C90" s="50" t="inlineStr">
        <is>
          <t>템플릿 API</t>
        </is>
      </c>
      <c r="D90" s="51" t="inlineStr">
        <is>
          <t>REV 표 첫 기재행 괘선 보존</t>
        </is>
      </c>
      <c r="E90" s="50" t="inlineStr">
        <is>
          <t>○</t>
        </is>
      </c>
      <c r="F90" s="50" t="inlineStr">
        <is>
          <t>X</t>
        </is>
      </c>
      <c r="G90" s="50" t="inlineStr">
        <is>
          <t>X</t>
        </is>
      </c>
      <c r="H90" s="50" t="inlineStr">
        <is>
          <t>X</t>
        </is>
      </c>
      <c r="I90" s="50" t="inlineStr">
        <is>
          <t>API 대기</t>
        </is>
      </c>
      <c r="J90" s="51" t="inlineStr">
        <is>
          <t>빈 셀 테두리 제거 시 첫 기재행과 공유하는 괘선도 삭제될 수 있음</t>
        </is>
      </c>
      <c r="K90" s="50" t="inlineStr">
        <is>
          <t>API 수정</t>
        </is>
      </c>
      <c r="L90" s="50" t="inlineStr">
        <is>
          <t>O</t>
        </is>
      </c>
      <c r="M90" s="50" t="inlineStr">
        <is>
          <t>O</t>
        </is>
      </c>
      <c r="N90" s="72" t="n">
        <v>46226</v>
      </c>
      <c r="O90" s="72" t="n"/>
      <c r="P90" s="72" t="n">
        <v>46226</v>
      </c>
      <c r="Q90" s="51" t="inlineStr">
        <is>
          <t>고정 템플릿 괘선과 빈 입력 셀 테두리를 구분하는 API 수정본 대기</t>
        </is>
      </c>
    </row>
  </sheetData>
  <mergeCells count="3">
    <mergeCell ref="A3:R3"/>
    <mergeCell ref="A2:R2"/>
    <mergeCell ref="A1:R1"/>
  </mergeCells>
  <conditionalFormatting sqref="I6:I72">
    <cfRule type="expression" priority="4" dxfId="20">
      <formula>$I6="개발 필요"</formula>
    </cfRule>
    <cfRule type="expression" priority="5" dxfId="19">
      <formula>$I6="분석 필요"</formula>
    </cfRule>
    <cfRule type="expression" priority="6" dxfId="14">
      <formula>$I6="출력 불가"</formula>
    </cfRule>
    <cfRule type="expression" priority="7" dxfId="14">
      <formula>$I6="벤더/API 대기"</formula>
    </cfRule>
  </conditionalFormatting>
  <conditionalFormatting sqref="I6:I74">
    <cfRule type="expression" priority="1" dxfId="23">
      <formula>$I6="완료"</formula>
    </cfRule>
    <cfRule type="expression" priority="2" dxfId="22">
      <formula>$I6="실기 검증 대기"</formula>
    </cfRule>
    <cfRule type="expression" priority="3" dxfId="21">
      <formula>$I6="부분 구현"</formula>
    </cfRule>
  </conditionalFormatting>
  <conditionalFormatting sqref="I6:I76">
    <cfRule type="expression" priority="15" dxfId="23">
      <formula>$I6="완료"</formula>
    </cfRule>
    <cfRule type="expression" priority="16" dxfId="22">
      <formula>$I6="실기 검증 대기"</formula>
    </cfRule>
    <cfRule type="expression" priority="17" dxfId="21">
      <formula>$I6="부분 구현"</formula>
    </cfRule>
    <cfRule type="expression" priority="18" dxfId="17">
      <formula>$I6="개발 필요"</formula>
    </cfRule>
    <cfRule type="expression" priority="19" dxfId="16">
      <formula>$I6="분석 필요"</formula>
    </cfRule>
    <cfRule type="expression" priority="20" dxfId="14">
      <formula>$I6="출력 불가"</formula>
    </cfRule>
    <cfRule type="expression" priority="21" dxfId="14">
      <formula>$I6="API 대기"</formula>
    </cfRule>
  </conditionalFormatting>
  <conditionalFormatting sqref="I6:I79">
    <cfRule type="expression" priority="22" dxfId="23">
      <formula>$I6="완료"</formula>
    </cfRule>
    <cfRule type="expression" priority="23" dxfId="22">
      <formula>$I6="실기 검증 대기"</formula>
    </cfRule>
    <cfRule type="expression" priority="24" dxfId="21">
      <formula>$I6="부분 구현"</formula>
    </cfRule>
    <cfRule type="expression" priority="25" dxfId="20">
      <formula>OR($I6="개발 필요",$I6="개발 대기")</formula>
    </cfRule>
    <cfRule type="expression" priority="26" dxfId="19">
      <formula>OR($I6="분석 필요",$I6="적용 제외")</formula>
    </cfRule>
    <cfRule type="expression" priority="27" dxfId="14">
      <formula>OR($I6="출력 불가",$I6="API 요청 필요",$I6="API 대기")</formula>
    </cfRule>
  </conditionalFormatting>
  <conditionalFormatting sqref="I73:I74">
    <cfRule type="expression" priority="11" dxfId="17">
      <formula>$I73="개발 필요"</formula>
    </cfRule>
    <cfRule type="expression" priority="12" dxfId="16">
      <formula>$I73="분석 필요"</formula>
    </cfRule>
    <cfRule type="expression" priority="13" dxfId="14">
      <formula>$I73="출력 불가"</formula>
    </cfRule>
    <cfRule type="expression" priority="14" dxfId="14">
      <formula>$I73="벤더/API 대기"</formula>
    </cfRule>
  </conditionalFormatting>
  <conditionalFormatting sqref="I6:I90">
    <cfRule type="expression" priority="28" dxfId="62">
      <formula>$I6="완료"</formula>
    </cfRule>
    <cfRule type="expression" priority="29" dxfId="63">
      <formula>$I6="실기 검증 대기"</formula>
    </cfRule>
    <cfRule type="expression" priority="30" dxfId="64">
      <formula>OR($I6="부분 구현",$I6="개발 중")</formula>
    </cfRule>
    <cfRule type="expression" priority="31" dxfId="65">
      <formula>OR($I6="개발 필요",$I6="개발 대기")</formula>
    </cfRule>
    <cfRule type="expression" priority="32" dxfId="66">
      <formula>OR($I6="분석 필요",$I6="적용 제외")</formula>
    </cfRule>
    <cfRule type="expression" priority="33" dxfId="67">
      <formula>OR($I6="출력 불가",$I6="API 요청 필요",$I6="API 대기")</formula>
    </cfRule>
  </conditionalFormatting>
  <dataValidations count="7">
    <dataValidation sqref="G6:G90" showDropDown="0" showInputMessage="0" showErrorMessage="0" allowBlank="0" type="list">
      <formula1>"O,△,X"</formula1>
    </dataValidation>
    <dataValidation sqref="H6:H90" showDropDown="0" showInputMessage="0" showErrorMessage="0" allowBlank="0" type="list">
      <formula1>"O,대기,X,해당없음"</formula1>
    </dataValidation>
    <dataValidation sqref="I6:I74" showDropDown="0" showInputMessage="0" showErrorMessage="0" allowBlank="0" type="list">
      <formula1>"완료,실기 검증 대기,부분 구현,개발 필요,분석 필요,출력 불가,벤더/API 대기"</formula1>
    </dataValidation>
    <dataValidation sqref="L6:M90" showDropDown="0" showInputMessage="0" showErrorMessage="0" allowBlank="0" type="list">
      <formula1>"O,X"</formula1>
    </dataValidation>
    <dataValidation sqref="I6:I76" showDropDown="0" showInputMessage="0" showErrorMessage="0" allowBlank="0" type="list">
      <formula1>"완료,실기 검증 대기,부분 구현,개발 필요,분석 필요,출력 불가,API 대기"</formula1>
    </dataValidation>
    <dataValidation sqref="I6:I79" showDropDown="0" showInputMessage="0" showErrorMessage="0" allowBlank="0" type="list">
      <formula1>"완료,실기 검증 대기,부분 구현,개발 필요,개발 대기,분석 필요,출력 불가,API 요청 필요,API 대기,적용 제외"</formula1>
    </dataValidation>
    <dataValidation sqref="I6:I90" showDropDown="0" showInputMessage="0" showErrorMessage="0" allowBlank="0" type="list">
      <formula1>"완료,실기 검증 대기,부분 구현,개발 필요,개발 대기,개발 중,분석 필요,출력 불가,API 요청 필요,API 대기,적용 제외"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7.39999961853027"/>
  <cols>
    <col width="19.69921875" customWidth="1" style="56" min="1" max="1"/>
    <col width="11.09765625" customWidth="1" style="56" min="2" max="2"/>
    <col width="9.296875" customWidth="1" style="56" min="3" max="3"/>
    <col width="37.59765625" customWidth="1" style="56" min="4" max="4"/>
    <col width="27" customWidth="1" style="56" min="5" max="5"/>
    <col width="9.19921875" customWidth="1" style="56" min="6" max="6"/>
    <col width="35.19921875" customWidth="1" style="56" min="7" max="7"/>
  </cols>
  <sheetData>
    <row r="1">
      <c r="A1" s="12" t="inlineStr">
        <is>
          <t>도면 요구사항과 현재 UDA·API 매핑</t>
        </is>
      </c>
    </row>
    <row r="2">
      <c r="A2" s="46" t="inlineStr">
        <is>
          <t>현재 코드가 실제로 읽는 값과 앞으로 정의해야 할 생산 데이터를 구분했습니다.</t>
        </is>
      </c>
    </row>
    <row r="4" ht="15" customHeight="1" s="56">
      <c r="A4" s="47" t="inlineStr">
        <is>
          <t>필수 뷰 매핑</t>
        </is>
      </c>
    </row>
    <row r="5" ht="37.95000076293945" customHeight="1" s="56">
      <c r="A5" s="2" t="inlineStr">
        <is>
          <t>도면 요소</t>
        </is>
      </c>
      <c r="B5" s="2" t="inlineStr">
        <is>
          <t>사용자 요구</t>
        </is>
      </c>
      <c r="C5" s="2" t="inlineStr">
        <is>
          <t>현재 코드</t>
        </is>
      </c>
      <c r="D5" s="2" t="inlineStr">
        <is>
          <t>상태</t>
        </is>
      </c>
      <c r="E5" s="2" t="inlineStr">
        <is>
          <t>생산 확인</t>
        </is>
      </c>
      <c r="F5" s="2" t="inlineStr">
        <is>
          <t>추가 분석</t>
        </is>
      </c>
      <c r="G5" s="2" t="inlineStr">
        <is>
          <t>비고</t>
        </is>
      </c>
    </row>
    <row r="6" ht="36" customHeight="1" s="56">
      <c r="A6" s="3" t="inlineStr">
        <is>
          <t>ISO</t>
        </is>
      </c>
      <c r="B6" s="3" t="inlineStr">
        <is>
          <t>ISO3 뷰</t>
        </is>
      </c>
      <c r="C6" s="3" t="inlineStr">
        <is>
          <t>ISO_PLUS</t>
        </is>
      </c>
      <c r="D6" s="3" t="inlineStr">
        <is>
          <t>완료</t>
        </is>
      </c>
      <c r="E6" s="3" t="inlineStr">
        <is>
          <t>O</t>
        </is>
      </c>
      <c r="F6" s="3" t="inlineStr">
        <is>
          <t>X</t>
        </is>
      </c>
      <c r="G6" s="3" t="inlineStr">
        <is>
          <t>View_1</t>
        </is>
      </c>
    </row>
    <row r="7" ht="36" customHeight="1" s="56">
      <c r="A7" s="3" t="inlineStr">
        <is>
          <t>평면도</t>
        </is>
      </c>
      <c r="B7" s="3" t="inlineStr">
        <is>
          <t>-Z 방향</t>
        </is>
      </c>
      <c r="C7" s="3" t="inlineStr">
        <is>
          <t>Z_MINUS</t>
        </is>
      </c>
      <c r="D7" s="3" t="inlineStr">
        <is>
          <t>완료</t>
        </is>
      </c>
      <c r="E7" s="3" t="inlineStr">
        <is>
          <t>O</t>
        </is>
      </c>
      <c r="F7" s="3" t="inlineStr">
        <is>
          <t>X</t>
        </is>
      </c>
      <c r="G7" s="3" t="inlineStr">
        <is>
          <t>View_2</t>
        </is>
      </c>
    </row>
    <row r="8" ht="36" customHeight="1" s="56">
      <c r="A8" s="3" t="inlineStr">
        <is>
          <t>정면도</t>
        </is>
      </c>
      <c r="B8" s="3" t="inlineStr">
        <is>
          <t>-X 방향</t>
        </is>
      </c>
      <c r="C8" s="3" t="inlineStr">
        <is>
          <t>X_MINUS</t>
        </is>
      </c>
      <c r="D8" s="3" t="inlineStr">
        <is>
          <t>완료</t>
        </is>
      </c>
      <c r="E8" s="3" t="inlineStr">
        <is>
          <t>O</t>
        </is>
      </c>
      <c r="F8" s="3" t="inlineStr">
        <is>
          <t>X</t>
        </is>
      </c>
      <c r="G8" s="3" t="inlineStr">
        <is>
          <t>View_3</t>
        </is>
      </c>
    </row>
    <row r="9" ht="36" customHeight="1" s="56">
      <c r="A9" s="3" t="inlineStr">
        <is>
          <t>측면도</t>
        </is>
      </c>
      <c r="B9" s="3" t="inlineStr">
        <is>
          <t>-Y 방향</t>
        </is>
      </c>
      <c r="C9" s="3" t="inlineStr">
        <is>
          <t>Y_MINUS</t>
        </is>
      </c>
      <c r="D9" s="3" t="inlineStr">
        <is>
          <t>완료</t>
        </is>
      </c>
      <c r="E9" s="3" t="inlineStr">
        <is>
          <t>O</t>
        </is>
      </c>
      <c r="F9" s="3" t="inlineStr">
        <is>
          <t>X</t>
        </is>
      </c>
      <c r="G9" s="3" t="inlineStr">
        <is>
          <t>View_4</t>
        </is>
      </c>
    </row>
    <row r="11" ht="15" customHeight="1" s="56">
      <c r="A11" s="47" t="inlineStr">
        <is>
          <t>BOM 컬럼별 데이터 출처</t>
        </is>
      </c>
    </row>
    <row r="12" ht="37.95000076293945" customHeight="1" s="56">
      <c r="A12" s="2" t="inlineStr">
        <is>
          <t>BOM 컬럼</t>
        </is>
      </c>
      <c r="B12" s="2" t="inlineStr">
        <is>
          <t>생산 필수</t>
        </is>
      </c>
      <c r="C12" s="2" t="inlineStr">
        <is>
          <t>현재 상태</t>
        </is>
      </c>
      <c r="D12" s="2" t="inlineStr">
        <is>
          <t>현재 출처·계산</t>
        </is>
      </c>
      <c r="E12" s="2" t="inlineStr">
        <is>
          <t>권장 UDA/규칙</t>
        </is>
      </c>
      <c r="F12" s="2" t="inlineStr">
        <is>
          <t>추가 개발</t>
        </is>
      </c>
      <c r="G12" s="2" t="inlineStr">
        <is>
          <t>판정</t>
        </is>
      </c>
    </row>
    <row r="13" ht="36" customHeight="1" s="56">
      <c r="A13" s="3" t="inlineStr">
        <is>
          <t>번호</t>
        </is>
      </c>
      <c r="B13" s="3" t="inlineStr">
        <is>
          <t>○</t>
        </is>
      </c>
      <c r="C13" s="3" t="inlineStr">
        <is>
          <t>완료</t>
        </is>
      </c>
      <c r="D13" s="3" t="inlineStr">
        <is>
          <t>앱이 Part/BOM 순번으로 생성</t>
        </is>
      </c>
      <c r="E13" s="3" t="inlineStr">
        <is>
          <t>UDA 불필요</t>
        </is>
      </c>
      <c r="F13" s="3" t="inlineStr">
        <is>
          <t>없음</t>
        </is>
      </c>
      <c r="G13" s="3" t="inlineStr">
        <is>
          <t>ISO 풍선과 같은 번호</t>
        </is>
      </c>
    </row>
    <row r="14" ht="36" customHeight="1" s="56">
      <c r="A14" s="3" t="inlineStr">
        <is>
          <t>ITEM</t>
        </is>
      </c>
      <c r="B14" s="3" t="inlineStr">
        <is>
          <t>○</t>
        </is>
      </c>
      <c r="C14" s="3" t="inlineStr">
        <is>
          <t>완료</t>
        </is>
      </c>
      <c r="D14" s="3" t="inlineStr">
        <is>
          <t>SPREF 앞 구간; 없음·빈값은 unset</t>
        </is>
      </c>
      <c r="E14" s="3" t="inlineStr">
        <is>
          <t>SPREF</t>
        </is>
      </c>
      <c r="F14" s="3" t="inlineStr">
        <is>
          <t>없음</t>
        </is>
      </c>
      <c r="G14" s="3" t="inlineStr">
        <is>
          <t>후속 빈 데이터는 -로 표시, 2026-07-23 실기 확인</t>
        </is>
      </c>
    </row>
    <row r="15" ht="36" customHeight="1" s="56">
      <c r="A15" s="3" t="inlineStr">
        <is>
          <t>MATERIAL</t>
        </is>
      </c>
      <c r="B15" s="3" t="inlineStr">
        <is>
          <t>○</t>
        </is>
      </c>
      <c r="C15" s="3" t="inlineStr">
        <is>
          <t>완료</t>
        </is>
      </c>
      <c r="D15" s="3" t="inlineStr">
        <is>
          <t>MATREF</t>
        </is>
      </c>
      <c r="E15" s="3" t="inlineStr">
        <is>
          <t>MATREF</t>
        </is>
      </c>
      <c r="F15" s="3" t="inlineStr">
        <is>
          <t>없음</t>
        </is>
      </c>
      <c r="G15" s="3" t="inlineStr">
        <is>
          <t>선행 / 제거</t>
        </is>
      </c>
    </row>
    <row r="16" ht="36" customHeight="1" s="56">
      <c r="A16" s="3" t="inlineStr">
        <is>
          <t>SIZE</t>
        </is>
      </c>
      <c r="B16" s="3" t="inlineStr">
        <is>
          <t>○</t>
        </is>
      </c>
      <c r="C16" s="3" t="inlineStr">
        <is>
          <t>부분 구현</t>
        </is>
      </c>
      <c r="D16" s="3" t="inlineStr">
        <is>
          <t>SPREF 뒷부분 + POSSTART/POSEND 거리</t>
        </is>
      </c>
      <c r="E16" s="3" t="inlineStr">
        <is>
          <t>SPREF + POSSTART/POSEND</t>
        </is>
      </c>
      <c r="F16" s="3" t="inlineStr">
        <is>
          <t>형식 검증</t>
        </is>
      </c>
      <c r="G16" s="3" t="inlineStr">
        <is>
          <t>좌표 숫자 순서 가정</t>
        </is>
      </c>
    </row>
    <row r="17" ht="36" customHeight="1" s="56">
      <c r="A17" s="3" t="inlineStr">
        <is>
          <t>Q'TY</t>
        </is>
      </c>
      <c r="B17" s="3" t="inlineStr">
        <is>
          <t>○</t>
        </is>
      </c>
      <c r="C17" s="3" t="inlineStr">
        <is>
          <t>미구현</t>
        </is>
      </c>
      <c r="D17" s="3" t="inlineStr">
        <is>
          <t>항상 1</t>
        </is>
      </c>
      <c r="E17" s="3" t="inlineStr">
        <is>
          <t>수량 UDA 또는 동일부재 집계 규칙</t>
        </is>
      </c>
      <c r="F17" s="3" t="inlineStr">
        <is>
          <t>필요</t>
        </is>
      </c>
      <c r="G17" s="3" t="inlineStr">
        <is>
          <t>생산값 아님</t>
        </is>
      </c>
    </row>
    <row r="18" ht="36" customHeight="1" s="56">
      <c r="A18" s="3" t="inlineStr">
        <is>
          <t>T/W</t>
        </is>
      </c>
      <c r="B18" s="3" t="inlineStr">
        <is>
          <t>○</t>
        </is>
      </c>
      <c r="C18" s="3" t="inlineStr">
        <is>
          <t>완료</t>
        </is>
      </c>
      <c r="D18" s="3" t="inlineStr">
        <is>
          <t>GWEI 숫자 파싱</t>
        </is>
      </c>
      <c r="E18" s="3" t="inlineStr">
        <is>
          <t>GWEI</t>
        </is>
      </c>
      <c r="F18" s="3" t="inlineStr">
        <is>
          <t>없음</t>
        </is>
      </c>
      <c r="G18" s="3" t="inlineStr">
        <is>
          <t>요약행은 합계</t>
        </is>
      </c>
    </row>
    <row r="19" ht="36" customHeight="1" s="56">
      <c r="A19" s="3" t="inlineStr">
        <is>
          <t>MA</t>
        </is>
      </c>
      <c r="B19" s="3" t="inlineStr">
        <is>
          <t>○</t>
        </is>
      </c>
      <c r="C19" s="3" t="inlineStr">
        <is>
          <t>미구현</t>
        </is>
      </c>
      <c r="D19" s="3" t="inlineStr">
        <is>
          <t>데이터행 L / 요약행 F</t>
        </is>
      </c>
      <c r="E19" s="3" t="inlineStr">
        <is>
          <t>UDA·업무규칙 미정</t>
        </is>
      </c>
      <c r="F19" s="3" t="inlineStr">
        <is>
          <t>필요</t>
        </is>
      </c>
      <c r="G19" s="3" t="inlineStr">
        <is>
          <t>생산값 아님</t>
        </is>
      </c>
    </row>
    <row r="20" ht="36" customHeight="1" s="56">
      <c r="A20" s="3" t="inlineStr">
        <is>
          <t>FA</t>
        </is>
      </c>
      <c r="B20" s="3" t="inlineStr">
        <is>
          <t>○</t>
        </is>
      </c>
      <c r="C20" s="3" t="inlineStr">
        <is>
          <t>미구현</t>
        </is>
      </c>
      <c r="D20" s="3" t="inlineStr">
        <is>
          <t>항상 F</t>
        </is>
      </c>
      <c r="E20" s="3" t="inlineStr">
        <is>
          <t>UDA·업무규칙 미정</t>
        </is>
      </c>
      <c r="F20" s="3" t="inlineStr">
        <is>
          <t>필요</t>
        </is>
      </c>
      <c r="G20" s="3" t="inlineStr">
        <is>
          <t>생산값 아님</t>
        </is>
      </c>
    </row>
    <row r="22" ht="15" customHeight="1" s="56">
      <c r="A22" s="47" t="inlineStr">
        <is>
          <t>표제부·추가 생산 정보</t>
        </is>
      </c>
    </row>
    <row r="23" ht="37.95000076293945" customHeight="1" s="56">
      <c r="A23" s="2" t="inlineStr">
        <is>
          <t>항목</t>
        </is>
      </c>
      <c r="B23" s="2" t="inlineStr">
        <is>
          <t>생산 필수</t>
        </is>
      </c>
      <c r="C23" s="2" t="inlineStr">
        <is>
          <t>현재 상태</t>
        </is>
      </c>
      <c r="D23" s="2" t="inlineStr">
        <is>
          <t>현재 값/배선</t>
        </is>
      </c>
      <c r="E23" s="2" t="inlineStr">
        <is>
          <t>필요 데이터</t>
        </is>
      </c>
      <c r="F23" s="2" t="inlineStr">
        <is>
          <t>추가 개발</t>
        </is>
      </c>
      <c r="G23" s="2" t="inlineStr">
        <is>
          <t>비고</t>
        </is>
      </c>
    </row>
    <row r="24" ht="36" customHeight="1" s="56">
      <c r="A24" s="3" t="inlineStr">
        <is>
          <t>Paint Code</t>
        </is>
      </c>
      <c r="B24" s="3" t="inlineStr">
        <is>
          <t>○</t>
        </is>
      </c>
      <c r="C24" s="3" t="inlineStr">
        <is>
          <t>완료</t>
        </is>
      </c>
      <c r="D24" s="3" t="inlineStr">
        <is>
          <t>Input 166에 첫 비어 있지 않은 STRU PNT UDA</t>
        </is>
      </c>
      <c r="E24" s="3" t="inlineStr">
        <is>
          <t>STRU 상위 UDA PNT</t>
        </is>
      </c>
      <c r="F24" s="3" t="inlineStr">
        <is>
          <t>없음</t>
        </is>
      </c>
      <c r="G24" s="3" t="inlineStr">
        <is>
          <t>제작도·조립도·설치도·가공도 실기 확인 완료</t>
        </is>
      </c>
    </row>
    <row r="25" ht="36" customHeight="1" s="56">
      <c r="A25" s="3" t="inlineStr">
        <is>
          <t>PNOD / No Paint</t>
        </is>
      </c>
      <c r="B25" s="3" t="inlineStr">
        <is>
          <t>○</t>
        </is>
      </c>
      <c r="C25" s="3" t="inlineStr">
        <is>
          <t>미구현</t>
        </is>
      </c>
      <c r="D25" s="3" t="inlineStr">
        <is>
          <t>값 연결 없음</t>
        </is>
      </c>
      <c r="E25" s="3" t="inlineStr">
        <is>
          <t>UDA·판정 규칙</t>
        </is>
      </c>
      <c r="F25" s="3" t="inlineStr">
        <is>
          <t>필요</t>
        </is>
      </c>
      <c r="G25" s="3" t="inlineStr">
        <is>
          <t>Paint와 함께 정의</t>
        </is>
      </c>
    </row>
    <row r="26" ht="36" customHeight="1" s="56">
      <c r="A26" s="3" t="inlineStr">
        <is>
          <t>Grinding / Welding</t>
        </is>
      </c>
      <c r="B26" s="3" t="inlineStr">
        <is>
          <t>△</t>
        </is>
      </c>
      <c r="C26" s="3" t="inlineStr">
        <is>
          <t>분석 필요</t>
        </is>
      </c>
      <c r="D26" s="3" t="inlineStr">
        <is>
          <t>값 연결 없음</t>
        </is>
      </c>
      <c r="E26" s="3" t="inlineStr">
        <is>
          <t>부재/도면 단위 공법 데이터</t>
        </is>
      </c>
      <c r="F26" s="3" t="inlineStr">
        <is>
          <t>필요</t>
        </is>
      </c>
      <c r="G26" s="3" t="inlineStr">
        <is>
          <t>업무 규칙 우선</t>
        </is>
      </c>
    </row>
    <row r="27" ht="36" customHeight="1" s="56">
      <c r="A27" s="3" t="inlineStr">
        <is>
          <t>Note</t>
        </is>
      </c>
      <c r="B27" s="3" t="inlineStr">
        <is>
          <t>○</t>
        </is>
      </c>
      <c r="C27" s="3" t="inlineStr">
        <is>
          <t>미구현</t>
        </is>
      </c>
      <c r="D27" s="3" t="inlineStr">
        <is>
          <t>Input 164/200 자리만</t>
        </is>
      </c>
      <c r="E27" s="3" t="inlineStr">
        <is>
          <t>입력 UI·저장·길이 정책</t>
        </is>
      </c>
      <c r="F27" s="3" t="inlineStr">
        <is>
          <t>필요</t>
        </is>
      </c>
      <c r="G27" s="3" t="inlineStr">
        <is>
          <t>빈 Note 영역 테두리 선택 제거 API 해결 완료. 입력 UI·긴 텍스트 정책은 별도 개발 필요</t>
        </is>
      </c>
    </row>
    <row r="28" ht="36" customHeight="1" s="56">
      <c r="A28" s="3" t="inlineStr">
        <is>
          <t>Rev</t>
        </is>
      </c>
      <c r="B28" s="3" t="inlineStr">
        <is>
          <t>○</t>
        </is>
      </c>
      <c r="C28" s="3" t="inlineStr">
        <is>
          <t>미구현</t>
        </is>
      </c>
      <c r="D28" s="3" t="inlineStr">
        <is>
          <t>Input 170~199 자리만</t>
        </is>
      </c>
      <c r="E28" s="3" t="inlineStr">
        <is>
          <t>번호·일자·작성자·변경내용</t>
        </is>
      </c>
      <c r="F28" s="3" t="inlineStr">
        <is>
          <t>필요</t>
        </is>
      </c>
      <c r="G28" s="3" t="inlineStr">
        <is>
          <t>앱 데이터 모델과 입력 UI가 필요하며 첫 기재행 괘선 보존 API는 대기 중</t>
        </is>
      </c>
    </row>
    <row r="29" ht="36" customHeight="1" s="56">
      <c r="A29" s="3" t="inlineStr">
        <is>
          <t>Project Name</t>
        </is>
      </c>
      <c r="B29" s="3" t="inlineStr">
        <is>
          <t>○</t>
        </is>
      </c>
      <c r="C29" s="3" t="inlineStr">
        <is>
          <t>부분 구현</t>
        </is>
      </c>
      <c r="D29" s="3" t="inlineStr">
        <is>
          <t>CEDAR FLNG 고정</t>
        </is>
      </c>
      <c r="E29" s="3" t="inlineStr">
        <is>
          <t>프로젝트 메타/UDA</t>
        </is>
      </c>
      <c r="F29" s="3" t="inlineStr">
        <is>
          <t>필요</t>
        </is>
      </c>
      <c r="G29" s="3" t="inlineStr">
        <is>
          <t>하드코딩</t>
        </is>
      </c>
    </row>
    <row r="30" ht="36" customHeight="1" s="56">
      <c r="A30" s="3" t="inlineStr">
        <is>
          <t>Ship / Project No</t>
        </is>
      </c>
      <c r="B30" s="3" t="inlineStr">
        <is>
          <t>○</t>
        </is>
      </c>
      <c r="C30" s="3" t="inlineStr">
        <is>
          <t>부분 구현</t>
        </is>
      </c>
      <c r="D30" s="3" t="inlineStr">
        <is>
          <t>SN2688 고정</t>
        </is>
      </c>
      <c r="E30" s="3" t="inlineStr">
        <is>
          <t>정식 필드와 데이터 소스</t>
        </is>
      </c>
      <c r="F30" s="3" t="inlineStr">
        <is>
          <t>필요</t>
        </is>
      </c>
      <c r="G30" s="3" t="inlineStr">
        <is>
          <t>하드코딩</t>
        </is>
      </c>
    </row>
    <row r="31" ht="36" customHeight="1" s="56">
      <c r="A31" s="3" t="inlineStr">
        <is>
          <t>TAG NO</t>
        </is>
      </c>
      <c r="B31" s="3" t="inlineStr">
        <is>
          <t>○</t>
        </is>
      </c>
      <c r="C31" s="3" t="inlineStr">
        <is>
          <t>부분 구현</t>
        </is>
      </c>
      <c r="D31" s="3" t="inlineStr">
        <is>
          <t>조상 UDA STRU</t>
        </is>
      </c>
      <c r="E31" s="3" t="inlineStr">
        <is>
          <t>시트 종류별 기준노드 보강</t>
        </is>
      </c>
      <c r="F31" s="3" t="inlineStr">
        <is>
          <t>보강</t>
        </is>
      </c>
      <c r="G31" s="3" t="inlineStr">
        <is>
          <t>테스트 케이스 출력 확인, 시트 종류별 기준노드 보강</t>
        </is>
      </c>
    </row>
    <row r="32" ht="36" customHeight="1" s="56">
      <c r="A32" s="3" t="inlineStr">
        <is>
          <t>DP No</t>
        </is>
      </c>
      <c r="B32" s="3" t="inlineStr">
        <is>
          <t>○</t>
        </is>
      </c>
      <c r="C32" s="3" t="inlineStr">
        <is>
          <t>미구현</t>
        </is>
      </c>
      <c r="D32" s="3" t="inlineStr">
        <is>
          <t>Test 고정</t>
        </is>
      </c>
      <c r="E32" s="3" t="inlineStr">
        <is>
          <t>정식 UDA/메타</t>
        </is>
      </c>
      <c r="F32" s="3" t="inlineStr">
        <is>
          <t>필요</t>
        </is>
      </c>
      <c r="G32" s="3" t="inlineStr">
        <is>
          <t>Test 값은 확인했지만 정식 생산 데이터 연결은 미완료</t>
        </is>
      </c>
    </row>
    <row r="33" ht="36" customHeight="1" s="56">
      <c r="A33" s="3" t="inlineStr">
        <is>
          <t>회사 로고</t>
        </is>
      </c>
      <c r="B33" s="3" t="inlineStr">
        <is>
          <t>X</t>
        </is>
      </c>
      <c r="C33" s="3" t="inlineStr">
        <is>
          <t>완료</t>
        </is>
      </c>
      <c r="D33" s="3" t="inlineStr">
        <is>
          <t>Logo.png</t>
        </is>
      </c>
      <c r="E33" s="3" t="inlineStr">
        <is>
          <t>프로젝트별 교체 정책(선택)</t>
        </is>
      </c>
      <c r="F33" s="3" t="inlineStr">
        <is>
          <t>선택</t>
        </is>
      </c>
      <c r="G33" s="3" t="inlineStr">
        <is>
          <t>디자인 요소</t>
        </is>
      </c>
    </row>
    <row r="34" ht="36" customHeight="1" s="56">
      <c r="A34" s="3" t="inlineStr">
        <is>
          <t>고객/프로젝트 이미지</t>
        </is>
      </c>
      <c r="B34" s="3" t="inlineStr">
        <is>
          <t>X</t>
        </is>
      </c>
      <c r="C34" s="3" t="inlineStr">
        <is>
          <t>부분 구현</t>
        </is>
      </c>
      <c r="D34" s="3" t="inlineStr">
        <is>
          <t>ClientTestImage.png</t>
        </is>
      </c>
      <c r="E34" s="3" t="inlineStr">
        <is>
          <t>프로젝트별 파일 선택</t>
        </is>
      </c>
      <c r="F34" s="3" t="inlineStr">
        <is>
          <t>필요</t>
        </is>
      </c>
      <c r="G34" s="3" t="inlineStr">
        <is>
          <t>디자인 요소</t>
        </is>
      </c>
    </row>
    <row r="36">
      <c r="A36" s="36" t="inlineStr">
        <is>
          <t>추가 형상·출력 상태 정리</t>
        </is>
      </c>
    </row>
    <row r="37" ht="37.95000076293945" customHeight="1" s="56">
      <c r="A37" s="6" t="inlineStr">
        <is>
          <t>항목</t>
        </is>
      </c>
      <c r="B37" s="6" t="inlineStr">
        <is>
          <t>생산 필수</t>
        </is>
      </c>
      <c r="C37" s="6" t="inlineStr">
        <is>
          <t>현재 상태</t>
        </is>
      </c>
      <c r="D37" s="6" t="inlineStr">
        <is>
          <t>현재 방식</t>
        </is>
      </c>
      <c r="E37" s="6" t="inlineStr">
        <is>
          <t>필요 보강</t>
        </is>
      </c>
      <c r="F37" s="6" t="inlineStr">
        <is>
          <t>추가 개발</t>
        </is>
      </c>
      <c r="G37" s="6" t="inlineStr">
        <is>
          <t>판정</t>
        </is>
      </c>
    </row>
    <row r="38" ht="36" customHeight="1" s="56">
      <c r="A38" s="7" t="inlineStr">
        <is>
          <t>기울어진 부재 참조축 정렬</t>
        </is>
      </c>
      <c r="B38" s="7" t="inlineStr">
        <is>
          <t>○</t>
        </is>
      </c>
      <c r="C38" s="7" t="inlineStr">
        <is>
          <t>완료</t>
        </is>
      </c>
      <c r="D38" s="7" t="inlineStr">
        <is>
          <t>ORIENTATION UDA + ReferenceAxis 정렬 적용</t>
        </is>
      </c>
      <c r="E38" s="7" t="inlineStr">
        <is>
          <t>UserAxis 문자 각도는 별도 API 대기</t>
        </is>
      </c>
      <c r="F38" s="7" t="inlineStr">
        <is>
          <t>API</t>
        </is>
      </c>
      <c r="G38" s="7" t="inlineStr">
        <is>
          <t>참조축 정렬은 완료했고 치수 숫자 각도만 별도 항목으로 관리</t>
        </is>
      </c>
    </row>
    <row r="39" ht="36" customHeight="1" s="56">
      <c r="A39" s="7" t="inlineStr">
        <is>
          <t>대각 치수</t>
        </is>
      </c>
      <c r="B39" s="7" t="inlineStr">
        <is>
          <t>X</t>
        </is>
      </c>
      <c r="C39" s="7" t="inlineStr">
        <is>
          <t>적용 제외</t>
        </is>
      </c>
      <c r="D39" s="7" t="inlineStr">
        <is>
          <t>수평·수직 위치 치수 유지</t>
        </is>
      </c>
      <c r="E39" s="7" t="inlineStr">
        <is>
          <t>없음</t>
        </is>
      </c>
      <c r="F39" s="7" t="inlineStr">
        <is>
          <t>없음</t>
        </is>
      </c>
      <c r="G39" s="7" t="inlineStr">
        <is>
          <t>생산 기준상 대각 선형 치수를 적용하지 않기로 결정</t>
        </is>
      </c>
    </row>
    <row r="40" ht="36" customHeight="1" s="56">
      <c r="A40" s="7" t="inlineStr">
        <is>
          <t>ISO 미리보기 상태 정리</t>
        </is>
      </c>
      <c r="B40" s="7" t="inlineStr">
        <is>
          <t>X</t>
        </is>
      </c>
      <c r="C40" s="7" t="inlineStr">
        <is>
          <t>완료</t>
        </is>
      </c>
      <c r="D40" s="7" t="inlineStr">
        <is>
          <t>진입 시 Measure·ShapeDrawing과 3D Review Note 정리</t>
        </is>
      </c>
      <c r="E40" s="7" t="inlineStr">
        <is>
          <t>없음</t>
        </is>
      </c>
      <c r="F40" s="7" t="inlineStr">
        <is>
          <t>없음</t>
        </is>
      </c>
      <c r="G40" s="7" t="inlineStr">
        <is>
          <t>ISO 잔류 치수와 가공도 3D 미리보기 풍선 정리 완료. PDF 풍선 유지 실기 확인</t>
        </is>
      </c>
    </row>
    <row r="41" ht="36" customHeight="1" s="56">
      <c r="A41" s="7" t="inlineStr">
        <is>
          <t>2D 출력 후 임시 치수 정리</t>
        </is>
      </c>
      <c r="B41" s="7" t="inlineStr">
        <is>
          <t>○</t>
        </is>
      </c>
      <c r="C41" s="7" t="inlineStr">
        <is>
          <t>완료</t>
        </is>
      </c>
      <c r="D41" s="7" t="inlineStr">
        <is>
          <t>출력 종료 finally에서 3D 임시 객체 정리</t>
        </is>
      </c>
      <c r="E41" s="7" t="inlineStr">
        <is>
          <t>없음</t>
        </is>
      </c>
      <c r="F41" s="7" t="inlineStr">
        <is>
          <t>없음</t>
        </is>
      </c>
      <c r="G41" s="7" t="inlineStr">
        <is>
          <t>연속 모델·시트 출력에서 이월 없음 실기 확인</t>
        </is>
      </c>
    </row>
    <row r="42" ht="42" customHeight="1" s="56">
      <c r="A42" s="0" t="inlineStr">
        <is>
          <t>작은 치수선 길이 제어</t>
        </is>
      </c>
      <c r="B42" s="0" t="inlineStr">
        <is>
          <t>X</t>
        </is>
      </c>
      <c r="C42" s="0" t="inlineStr">
        <is>
          <t>API 요청 필요</t>
        </is>
      </c>
      <c r="D42" s="0" t="inlineStr">
        <is>
          <t>외부 텍스트 배치 시 SDK 치수선 자동 연장</t>
        </is>
      </c>
      <c r="E42" s="0" t="inlineStr">
        <is>
          <t>치수선·leader 길이 제어 API</t>
        </is>
      </c>
      <c r="F42" s="0" t="inlineStr">
        <is>
          <t>API 요청</t>
        </is>
      </c>
      <c r="G42" s="0" t="inlineStr">
        <is>
          <t>낮은 우선순위이며 아직 요청 미전달</t>
        </is>
      </c>
    </row>
    <row r="43" ht="25.95000076293945" customHeight="1" s="56">
      <c r="A43" s="73" t="inlineStr">
        <is>
          <t>개발일은 현재 코드와 변경 기록에서 확인 가능한 날짜만 반영했습니다.</t>
        </is>
      </c>
      <c r="B43" s="74" t="n"/>
      <c r="C43" s="74" t="n"/>
      <c r="D43" s="74" t="n"/>
      <c r="E43" s="74" t="n"/>
      <c r="F43" s="74" t="n"/>
      <c r="G43" s="75" t="n"/>
    </row>
    <row r="44" ht="25.95000076293945" customHeight="1" s="56">
      <c r="A44" s="76" t="inlineStr">
        <is>
          <t>확인하기 어려운 초기 개발 이력은 최초 구현일로 사용하지 않았습니다.</t>
        </is>
      </c>
      <c r="G44" s="77" t="n"/>
    </row>
    <row r="45" ht="25.95000076293945" customHeight="1" s="56">
      <c r="A45" s="78" t="inlineStr">
        <is>
          <t>주요 확인 자료: 도면 출력·BOM·가공도·설치도 기능 문서와 현재 코드</t>
        </is>
      </c>
      <c r="B45" s="66" t="n"/>
      <c r="C45" s="66" t="n"/>
      <c r="D45" s="66" t="n"/>
      <c r="E45" s="66" t="n"/>
      <c r="F45" s="66" t="n"/>
      <c r="G45" s="79" t="n"/>
    </row>
  </sheetData>
  <mergeCells count="9">
    <mergeCell ref="A36:G36"/>
    <mergeCell ref="A44:G44"/>
    <mergeCell ref="A1:G1"/>
    <mergeCell ref="A22:G22"/>
    <mergeCell ref="A4:G4"/>
    <mergeCell ref="A2:G2"/>
    <mergeCell ref="A43:G43"/>
    <mergeCell ref="A11:G11"/>
    <mergeCell ref="A45:G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2026-07-26T14:50:11Z</dcterms:created>
  <dcterms:modified xmlns:dcterms="http://purl.org/dc/terms/" xmlns:xsi="http://www.w3.org/2001/XMLSchema-instance" xsi:type="dcterms:W3CDTF">2026-07-26T14:50:11Z</dcterms:modified>
</cp:coreProperties>
</file>