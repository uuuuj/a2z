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e5a88b4193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현황 요약" sheetId="1" r:id="Rc1c8f4b685d74b93"/>
    <x:sheet xmlns:r="http://schemas.openxmlformats.org/officeDocument/2006/relationships" name="개발 항목" sheetId="2" r:id="R2005099304c946c0"/>
    <x:sheet xmlns:r="http://schemas.openxmlformats.org/officeDocument/2006/relationships" name="요구사항·UDA" sheetId="3" r:id="Rdc81a5296e8146aa"/>
  </x:sheets>
</x:workbook>
</file>

<file path=xl/sharedStrings.xml><?xml version="1.0" encoding="utf-8"?>
<x:sst xmlns:x="http://schemas.openxmlformats.org/spreadsheetml/2006/main">
  <x:si>
    <x:t xml:space="preserve">2D 자동 제작도 개발 현황</x:t>
  </x:si>
  <x:si>
    <x:t xml:space="preserve">전체 관리 항목</x:t>
  </x:si>
  <x:si>
    <x:t xml:space="preserve">완료</x:t>
  </x:si>
  <x:si>
    <x:t xml:space="preserve">실기 검증 대기</x:t>
  </x:si>
  <x:si>
    <x:t xml:space="preserve">생산 필수 미확인</x:t>
  </x:si>
  <x:si>
    <x:t xml:space="preserve">최우선 차단·실기 대기 항목</x:t>
  </x:si>
  <x:si>
    <x:t xml:space="preserve">우선</x:t>
  </x:si>
  <x:si>
    <x:t xml:space="preserve">도면</x:t>
  </x:si>
  <x:si>
    <x:t xml:space="preserve">항목</x:t>
  </x:si>
  <x:si>
    <x:t xml:space="preserve">상태</x:t>
  </x:si>
  <x:si>
    <x:t xml:space="preserve">생산 영향</x:t>
  </x:si>
  <x:si>
    <x:t xml:space="preserve">다음 조치</x:t>
  </x:si>
  <x:si>
    <x:t xml:space="preserve">확인 근거</x:t>
  </x:si>
  <x:si>
    <x:t xml:space="preserve">최근 변경</x:t>
  </x:si>
  <x:si>
    <x:t xml:space="preserve">현재 판정에서 특히 주의할 점</x:t>
  </x:si>
  <x:si>
    <x:t xml:space="preserve">ISO3 / ISO_PLUS</x:t>
  </x:si>
  <x:si>
    <x:t xml:space="preserve">ISO3는 SDK의 CameraDirection.ISO_PLUS 뷰로 사용하면 됩니다.</x:t>
  </x:si>
  <x:si>
    <x:t xml:space="preserve">BOM UDA</x:t>
  </x:si>
  <x:si>
    <x:t xml:space="preserve">TAG / DP</x:t>
  </x:si>
  <x:si>
    <x:t xml:space="preserve">TAG는 STRU UDA 연결이 있으나 일부 시트 공백 가능. DP는 Test 고정값</x:t>
  </x:si>
  <x:si>
    <x:t xml:space="preserve">Paint / Note / Rev</x:t>
  </x:si>
  <x:si>
    <x:t xml:space="preserve">완료일</x:t>
  </x:si>
  <x:si>
    <x:t xml:space="preserve">코드·실기 확인 기록이 있는 경우만 기록합니다. 확인하기 어려운 초기 이력은 최초일로 사용하지 않습니다.</x:t>
  </x:si>
  <x:si>
    <x:t xml:space="preserve">제작도·조립도·설치도·가공도 자동화 개발 항목</x:t>
  </x:si>
  <x:si>
    <x:t xml:space="preserve">출장 개발 O와 개발 완료일을 분리했습니다. 코드가 있어도 실기/생산 검증이 안 됐으면 완료로 표시하지 않습니다.</x:t>
  </x:si>
  <x:si>
    <x:t xml:space="preserve">필수: ○=생산 필수, △=조건부/문서정보, X=디자인·편의 · API/코드 구현: O/△/X · 생산 출력 확인: O/대기/X/해당없음</x:t>
  </x:si>
  <x:si>
    <x:t xml:space="preserve">No.</x:t>
  </x:si>
  <x:si>
    <x:t xml:space="preserve">도면 종류</x:t>
  </x:si>
  <x:si>
    <x:t xml:space="preserve">대분류</x:t>
  </x:si>
  <x:si>
    <x:t xml:space="preserve">개발 항목</x:t>
  </x:si>
  <x:si>
    <x:t xml:space="preserve">생산 필수</x:t>
  </x:si>
  <x:si>
    <x:t xml:space="preserve">디자인 요소</x:t>
  </x:si>
  <x:si>
    <x:t xml:space="preserve">API/코드 구현</x:t>
  </x:si>
  <x:si>
    <x:t xml:space="preserve">생산 출력 확인</x:t>
  </x:si>
  <x:si>
    <x:t xml:space="preserve">현재 상태</x:t>
  </x:si>
  <x:si>
    <x:t xml:space="preserve">UDA·API / 현재 값</x:t>
  </x:si>
  <x:si>
    <x:t xml:space="preserve">추가 API·앱 개발</x:t>
  </x:si>
  <x:si>
    <x:t xml:space="preserve">추가 분석</x:t>
  </x:si>
  <x:si>
    <x:t xml:space="preserve">출장 개발</x:t>
  </x:si>
  <x:si>
    <x:t xml:space="preserve">최초 구현일</x:t>
  </x:si>
  <x:si>
    <x:t xml:space="preserve">완료 확인일</x:t>
  </x:si>
  <x:si>
    <x:t xml:space="preserve">최근 변경일</x:t>
  </x:si>
  <x:si>
    <x:t xml:space="preserve">근거·비고</x:t>
  </x:si>
  <x:si>
    <x:t xml:space="preserve">도면 요구사항과 현재 UDA·API 매핑</x:t>
  </x:si>
  <x:si>
    <x:t xml:space="preserve">현재 코드가 실제로 읽는 값과 앞으로 정의해야 할 생산 데이터를 구분했습니다.</x:t>
  </x:si>
  <x:si>
    <x:t xml:space="preserve">필수 뷰 매핑</x:t>
  </x:si>
  <x:si>
    <x:t xml:space="preserve">도면 요소</x:t>
  </x:si>
  <x:si>
    <x:t xml:space="preserve">사용자 요구</x:t>
  </x:si>
  <x:si>
    <x:t xml:space="preserve">현재 코드</x:t>
  </x:si>
  <x:si>
    <x:t xml:space="preserve">생산 확인</x:t>
  </x:si>
  <x:si>
    <x:t xml:space="preserve">비고</x:t>
  </x:si>
  <x:si>
    <x:t xml:space="preserve">ISO</x:t>
  </x:si>
  <x:si>
    <x:t xml:space="preserve">ISO3 뷰</x:t>
  </x:si>
  <x:si>
    <x:t xml:space="preserve">ISO_PLUS</x:t>
  </x:si>
  <x:si>
    <x:t xml:space="preserve">O</x:t>
  </x:si>
  <x:si>
    <x:t xml:space="preserve">X</x:t>
  </x:si>
  <x:si>
    <x:t xml:space="preserve">View_1</x:t>
  </x:si>
  <x:si>
    <x:t xml:space="preserve">평면도</x:t>
  </x:si>
  <x:si>
    <x:t xml:space="preserve">-Z 방향</x:t>
  </x:si>
  <x:si>
    <x:t xml:space="preserve">Z_MINUS</x:t>
  </x:si>
  <x:si>
    <x:t xml:space="preserve">View_2</x:t>
  </x:si>
  <x:si>
    <x:t xml:space="preserve">정면도</x:t>
  </x:si>
  <x:si>
    <x:t xml:space="preserve">-X 방향</x:t>
  </x:si>
  <x:si>
    <x:t xml:space="preserve">X_MINUS</x:t>
  </x:si>
  <x:si>
    <x:t xml:space="preserve">View_3</x:t>
  </x:si>
  <x:si>
    <x:t xml:space="preserve">측면도</x:t>
  </x:si>
  <x:si>
    <x:t xml:space="preserve">-Y 방향</x:t>
  </x:si>
  <x:si>
    <x:t xml:space="preserve">Y_MINUS</x:t>
  </x:si>
  <x:si>
    <x:t xml:space="preserve">View_4</x:t>
  </x:si>
  <x:si>
    <x:t xml:space="preserve">BOM 컬럼별 데이터 출처</x:t>
  </x:si>
  <x:si>
    <x:t xml:space="preserve">BOM 컬럼</x:t>
  </x:si>
  <x:si>
    <x:t xml:space="preserve">현재 출처·계산</x:t>
  </x:si>
  <x:si>
    <x:t xml:space="preserve">권장 UDA/규칙</x:t>
  </x:si>
  <x:si>
    <x:t xml:space="preserve">추가 개발</x:t>
  </x:si>
  <x:si>
    <x:t xml:space="preserve">판정</x:t>
  </x:si>
  <x:si>
    <x:t xml:space="preserve">번호</x:t>
  </x:si>
  <x:si>
    <x:t xml:space="preserve">○</x:t>
  </x:si>
  <x:si>
    <x:t xml:space="preserve">앱이 Part/BOM 순번으로 생성</x:t>
  </x:si>
  <x:si>
    <x:t xml:space="preserve">UDA 불필요</x:t>
  </x:si>
  <x:si>
    <x:t xml:space="preserve">없음</x:t>
  </x:si>
  <x:si>
    <x:t xml:space="preserve">ISO 풍선과 같은 번호</x:t>
  </x:si>
  <x:si>
    <x:t xml:space="preserve">MATERIAL</x:t>
  </x:si>
  <x:si>
    <x:t xml:space="preserve">MATREF</x:t>
  </x:si>
  <x:si>
    <x:t xml:space="preserve">선행 / 제거</x:t>
  </x:si>
  <x:si>
    <x:t xml:space="preserve">SIZE</x:t>
  </x:si>
  <x:si>
    <x:t xml:space="preserve">부분 구현</x:t>
  </x:si>
  <x:si>
    <x:t xml:space="preserve">SPREF 뒷부분 + POSSTART/POSEND 거리</x:t>
  </x:si>
  <x:si>
    <x:t xml:space="preserve">SPREF + POSSTART/POSEND</x:t>
  </x:si>
  <x:si>
    <x:t xml:space="preserve">형식 검증</x:t>
  </x:si>
  <x:si>
    <x:t xml:space="preserve">좌표 숫자 순서 가정</x:t>
  </x:si>
  <x:si>
    <x:t xml:space="preserve">Q'TY</x:t>
  </x:si>
  <x:si>
    <x:t xml:space="preserve">미구현</x:t>
  </x:si>
  <x:si>
    <x:t xml:space="preserve">항상 1</x:t>
  </x:si>
  <x:si>
    <x:t xml:space="preserve">수량 UDA 또는 동일부재 집계 규칙</x:t>
  </x:si>
  <x:si>
    <x:t xml:space="preserve">필요</x:t>
  </x:si>
  <x:si>
    <x:t xml:space="preserve">생산값 아님</x:t>
  </x:si>
  <x:si>
    <x:t xml:space="preserve">T/W</x:t>
  </x:si>
  <x:si>
    <x:t xml:space="preserve">GWEI 숫자 파싱</x:t>
  </x:si>
  <x:si>
    <x:t xml:space="preserve">GWEI</x:t>
  </x:si>
  <x:si>
    <x:t xml:space="preserve">요약행은 합계</x:t>
  </x:si>
  <x:si>
    <x:t xml:space="preserve">MA</x:t>
  </x:si>
  <x:si>
    <x:t xml:space="preserve">데이터행 L / 요약행 F</x:t>
  </x:si>
  <x:si>
    <x:t xml:space="preserve">UDA·업무규칙 미정</x:t>
  </x:si>
  <x:si>
    <x:t xml:space="preserve">FA</x:t>
  </x:si>
  <x:si>
    <x:t xml:space="preserve">항상 F</x:t>
  </x:si>
  <x:si>
    <x:t xml:space="preserve">표제부·추가 생산 정보</x:t>
  </x:si>
  <x:si>
    <x:t xml:space="preserve">현재 값/배선</x:t>
  </x:si>
  <x:si>
    <x:t xml:space="preserve">필요 데이터</x:t>
  </x:si>
  <x:si>
    <x:t xml:space="preserve">PNOD / No Paint</x:t>
  </x:si>
  <x:si>
    <x:t xml:space="preserve">값 연결 없음</x:t>
  </x:si>
  <x:si>
    <x:t xml:space="preserve">UDA·판정 규칙</x:t>
  </x:si>
  <x:si>
    <x:t xml:space="preserve">Paint와 함께 정의</x:t>
  </x:si>
  <x:si>
    <x:t xml:space="preserve">Grinding / Welding</x:t>
  </x:si>
  <x:si>
    <x:t xml:space="preserve">△</x:t>
  </x:si>
  <x:si>
    <x:t xml:space="preserve">분석 필요</x:t>
  </x:si>
  <x:si>
    <x:t xml:space="preserve">부재/도면 단위 공법 데이터</x:t>
  </x:si>
  <x:si>
    <x:t xml:space="preserve">업무 규칙 우선</x:t>
  </x:si>
  <x:si>
    <x:t xml:space="preserve">Note</x:t>
  </x:si>
  <x:si>
    <x:t xml:space="preserve">Input 164/200 자리만</x:t>
  </x:si>
  <x:si>
    <x:t xml:space="preserve">입력 UI·저장·길이 정책</x:t>
  </x:si>
  <x:si>
    <x:t xml:space="preserve">입력 UI·긴 텍스트·빈칸 테두리 정책 필요</x:t>
  </x:si>
  <x:si>
    <x:t xml:space="preserve">Rev</x:t>
  </x:si>
  <x:si>
    <x:t xml:space="preserve">Input 170~199 자리만</x:t>
  </x:si>
  <x:si>
    <x:t xml:space="preserve">번호·일자·작성자·변경내용</x:t>
  </x:si>
  <x:si>
    <x:t xml:space="preserve">앱 데이터 모델 필요</x:t>
  </x:si>
  <x:si>
    <x:t xml:space="preserve">Project Name</x:t>
  </x:si>
  <x:si>
    <x:t xml:space="preserve">CEDAR FLNG 고정</x:t>
  </x:si>
  <x:si>
    <x:t xml:space="preserve">프로젝트 메타/UDA</x:t>
  </x:si>
  <x:si>
    <x:t xml:space="preserve">하드코딩</x:t>
  </x:si>
  <x:si>
    <x:t xml:space="preserve">Ship / Project No</x:t>
  </x:si>
  <x:si>
    <x:t xml:space="preserve">SN2688 고정</x:t>
  </x:si>
  <x:si>
    <x:t xml:space="preserve">정식 필드와 데이터 소스</x:t>
  </x:si>
  <x:si>
    <x:t xml:space="preserve">TAG NO</x:t>
  </x:si>
  <x:si>
    <x:t xml:space="preserve">조상 UDA STRU</x:t>
  </x:si>
  <x:si>
    <x:t xml:space="preserve">시트 종류별 기준노드 보강</x:t>
  </x:si>
  <x:si>
    <x:t xml:space="preserve">보강</x:t>
  </x:si>
  <x:si>
    <x:t xml:space="preserve">테스트 케이스 출력 확인, 시트 종류별 기준노드 보강</x:t>
  </x:si>
  <x:si>
    <x:t xml:space="preserve">DP No</x:t>
  </x:si>
  <x:si>
    <x:t xml:space="preserve">Test 고정</x:t>
  </x:si>
  <x:si>
    <x:t xml:space="preserve">정식 UDA/메타</x:t>
  </x:si>
  <x:si>
    <x:t xml:space="preserve">Test 값은 확인했지만 정식 생산 데이터 연결은 미완료</x:t>
  </x:si>
  <x:si>
    <x:t xml:space="preserve">회사 로고</x:t>
  </x:si>
  <x:si>
    <x:t xml:space="preserve">Logo.png</x:t>
  </x:si>
  <x:si>
    <x:t xml:space="preserve">프로젝트별 교체 정책(선택)</x:t>
  </x:si>
  <x:si>
    <x:t xml:space="preserve">선택</x:t>
  </x:si>
  <x:si>
    <x:t xml:space="preserve">고객/프로젝트 이미지</x:t>
  </x:si>
  <x:si>
    <x:t xml:space="preserve">ClientTestImage.png</x:t>
  </x:si>
  <x:si>
    <x:t xml:space="preserve">프로젝트별 파일 선택</x:t>
  </x:si>
  <x:si>
    <x:t xml:space="preserve">추가 형상·출력 상태 정리</x:t>
  </x:si>
  <x:si>
    <x:t xml:space="preserve">현재 방식</x:t>
  </x:si>
  <x:si>
    <x:t xml:space="preserve">필요 보강</x:t>
  </x:si>
  <x:si>
    <x:t xml:space="preserve">기울어진 부재 정렬</x:t>
  </x:si>
  <x:si>
    <x:t xml:space="preserve">개발 필요</x:t>
  </x:si>
  <x:si>
    <x:t xml:space="preserve">ORIENTATION UDA 기반 회전</x:t>
  </x:si>
  <x:si>
    <x:t xml:space="preserve">형상 기반 ReferenceAxis 정렬</x:t>
  </x:si>
  <x:si>
    <x:t xml:space="preserve">단일 가공도부터 적용, 다부재 기준 정책 필요</x:t>
  </x:si>
  <x:si>
    <x:t xml:space="preserve">개발일은 현재 코드와 변경 기록에서 확인 가능한 날짜만 반영했습니다.</x:t>
  </x:si>
  <x:si>
    <x:t xml:space="preserve">확인하기 어려운 초기 개발 이력은 최초 구현일로 사용하지 않았습니다.</x:t>
  </x:si>
  <x:si>
    <x:t xml:space="preserve">주요 확인 자료: 도면 출력·BOM·가공도·설치도 기능 문서와 현재 코드</x:t>
  </x:si>
</x:sst>
</file>

<file path=xl/styles.xml><?xml version="1.0" encoding="utf-8"?>
<x:styleSheet xmlns:x="http://schemas.openxmlformats.org/spreadsheetml/2006/main">
  <x:numFmts count="2">
    <x:numFmt numFmtId="176" formatCode="yyyy\-mm\-dd"/>
    <x:numFmt numFmtId="200" formatCode="yyyy-mm-dd"/>
  </x:numFmts>
  <x:fonts count="14">
    <x:font>
      <x:sz val="11"/>
      <x:color theme="1"/>
      <x:name val="맑은 고딕"/>
    </x:font>
    <x:font>
      <x:sz val="11"/>
      <x:color theme="1"/>
      <x:name val="Noto Sans KR"/>
    </x:font>
    <x:font>
      <x:b/>
      <x:sz val="11"/>
      <x:color rgb="FFFFFFFF"/>
      <x:name val="맑은 고딕"/>
    </x:font>
    <x:font>
      <x:b/>
      <x:sz val="11"/>
      <x:color rgb="FF222222"/>
      <x:name val="맑은 고딕"/>
    </x:font>
    <x:font>
      <x:b/>
      <x:sz val="11"/>
      <x:color rgb="FF1F4E78"/>
      <x:name val="맑은 고딕"/>
    </x:font>
    <x:font>
      <x:sz val="11"/>
      <x:color rgb="FF222222"/>
      <x:name val="맑은 고딕"/>
    </x:font>
    <x:font>
      <x:b/>
      <x:sz val="11"/>
      <x:color theme="1"/>
      <x:name val="맑은 고딕"/>
    </x:font>
    <x:font>
      <x:i/>
      <x:sz val="11"/>
      <x:color theme="1"/>
      <x:name val="맑은 고딕"/>
    </x:font>
    <x:font>
      <x:i/>
      <x:sz val="11"/>
      <x:color rgb="FF595959"/>
      <x:name val="맑은 고딕"/>
    </x:font>
    <x:font>
      <x:sz val="8"/>
      <x:name val="돋움"/>
    </x:font>
    <x:font>
      <x:b/>
      <x:sz val="11"/>
      <x:color rgb="FFFFFFFF"/>
      <x:name val="Noto Sans KR"/>
    </x:font>
    <x:font>
      <x:i/>
      <x:sz val="11"/>
      <x:color theme="1"/>
      <x:name val="Noto Sans KR"/>
    </x:font>
    <x:font>
      <x:b/>
      <x:sz val="11"/>
      <x:color rgb="FF333333"/>
      <x:name val="맑은 고딕"/>
    </x:font>
    <x:font>
      <x:sz val="11"/>
      <x:color rgb="FF333333"/>
      <x:name val="맑은 고딕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CE4D6"/>
      </x:patternFill>
    </x:fill>
    <x:fill>
      <x:patternFill patternType="solid">
        <x:fgColor rgb="FFF3F6F8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</x:fills>
  <x:borders count="20">
    <x:border/>
    <x:border>
      <x:left style="medium">
        <x:color rgb="FFA6A6A6"/>
      </x:left>
      <x:top style="medium">
        <x:color rgb="FFA6A6A6"/>
      </x:top>
      <x:bottom style="medium">
        <x:color rgb="FFA6A6A6"/>
      </x:bottom>
    </x:border>
    <x:border>
      <x:right style="medium">
        <x:color rgb="FFA6A6A6"/>
      </x:right>
      <x:top style="medium">
        <x:color rgb="FFA6A6A6"/>
      </x:top>
      <x:bottom style="medium">
        <x:color rgb="FFA6A6A6"/>
      </x:bottom>
    </x:border>
    <x:border>
      <x:left style="medium">
        <x:color rgb="FFA6A6A6"/>
      </x:left>
      <x:top style="medium">
        <x:color rgb="FFA6A6A6"/>
      </x:top>
    </x:border>
    <x:border>
      <x:right style="medium">
        <x:color rgb="FFA6A6A6"/>
      </x:right>
      <x:top style="medium">
        <x:color rgb="FFA6A6A6"/>
      </x:top>
    </x:border>
    <x:border>
      <x:left style="medium">
        <x:color rgb="FFA6A6A6"/>
      </x:left>
      <x:bottom style="medium">
        <x:color rgb="FFA6A6A6"/>
      </x:bottom>
    </x:border>
    <x:border>
      <x:right style="medium">
        <x:color rgb="FFA6A6A6"/>
      </x:right>
      <x:bottom style="medium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>
      <x:alignment vertical="center"/>
    </x:xf>
  </x:cellStyleXfs>
  <x:cellXfs count="45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3" fillId="8" borderId="7" xfId="0" applyFont="1" applyFill="1" applyBorder="1" applyAlignment="1">
      <x:alignment horizontal="center" vertical="center" wrapText="1"/>
    </x:xf>
    <x:xf numFmtId="0" fontId="5" fillId="0" borderId="8" xfId="0" applyFont="1" applyBorder="1" applyAlignment="1">
      <x:alignment vertical="center" wrapText="1"/>
    </x:xf>
    <x:xf numFmtId="0" fontId="6" fillId="8" borderId="7" xfId="0" applyFont="1" applyFill="1" applyBorder="1">
      <x:alignment vertical="center"/>
    </x:xf>
    <x:xf numFmtId="0" fontId="1" fillId="0" borderId="0" xfId="0" applyFont="1">
      <x:alignment vertical="center"/>
    </x:xf>
    <x:xf numFmtId="0" fontId="12" fillId="10" borderId="7" xfId="0" applyFont="1" applyFill="1" applyBorder="1" applyAlignment="1">
      <x:alignment horizontal="center" vertical="center" wrapText="1"/>
    </x:xf>
    <x:xf numFmtId="0" fontId="13" fillId="0" borderId="8" xfId="0" applyFont="1" applyBorder="1" applyAlignment="1">
      <x:alignment vertical="center" wrapText="1"/>
    </x:xf>
    <x:xf numFmtId="0" fontId="13" fillId="0" borderId="8" xfId="0" applyFont="1" applyBorder="1" applyAlignment="1">
      <x:alignment horizontal="center" vertical="center" wrapText="1"/>
    </x:xf>
    <x:xf numFmtId="176" fontId="13" fillId="0" borderId="8" xfId="0" applyNumberFormat="1" applyFont="1" applyBorder="1" applyAlignment="1">
      <x:alignment horizontal="center" vertical="center" wrapText="1"/>
    </x:xf>
    <x:xf numFmtId="0" fontId="2" fillId="2" borderId="0" xfId="0" applyFont="1" applyFill="1" applyAlignment="1">
      <x:alignment horizontal="left" vertical="center"/>
    </x:xf>
    <x:xf numFmtId="0" fontId="5" fillId="3" borderId="0" xfId="0" applyFont="1" applyFill="1">
      <x:alignment vertical="center"/>
    </x:xf>
    <x:xf numFmtId="0" fontId="3" fillId="3" borderId="1" xfId="0" applyFont="1" applyFill="1" applyBorder="1" applyAlignment="1">
      <x:alignment horizontal="center" vertical="center"/>
    </x:xf>
    <x:xf numFmtId="0" fontId="3" fillId="3" borderId="2" xfId="0" applyFont="1" applyFill="1" applyBorder="1" applyAlignment="1">
      <x:alignment horizontal="center" vertical="center"/>
    </x:xf>
    <x:xf numFmtId="1" fontId="4" fillId="4" borderId="3" xfId="0" applyNumberFormat="1" applyFont="1" applyFill="1" applyBorder="1" applyAlignment="1">
      <x:alignment horizontal="center" vertical="center"/>
    </x:xf>
    <x:xf numFmtId="1" fontId="4" fillId="4" borderId="4" xfId="0" applyNumberFormat="1" applyFont="1" applyFill="1" applyBorder="1" applyAlignment="1">
      <x:alignment horizontal="center" vertical="center"/>
    </x:xf>
    <x:xf numFmtId="1" fontId="4" fillId="4" borderId="5" xfId="0" applyNumberFormat="1" applyFont="1" applyFill="1" applyBorder="1" applyAlignment="1">
      <x:alignment horizontal="center" vertical="center"/>
    </x:xf>
    <x:xf numFmtId="1" fontId="4" fillId="4" borderId="6" xfId="0" applyNumberFormat="1" applyFont="1" applyFill="1" applyBorder="1" applyAlignment="1">
      <x:alignment horizontal="center" vertical="center"/>
    </x:xf>
    <x:xf numFmtId="0" fontId="3" fillId="5" borderId="1" xfId="0" applyFont="1" applyFill="1" applyBorder="1" applyAlignment="1">
      <x:alignment horizontal="center" vertical="center"/>
    </x:xf>
    <x:xf numFmtId="0" fontId="3" fillId="5" borderId="2" xfId="0" applyFont="1" applyFill="1" applyBorder="1" applyAlignment="1">
      <x:alignment horizontal="center" vertical="center"/>
    </x:xf>
    <x:xf numFmtId="0" fontId="3" fillId="6" borderId="1" xfId="0" applyFont="1" applyFill="1" applyBorder="1" applyAlignment="1">
      <x:alignment horizontal="center" vertical="center"/>
    </x:xf>
    <x:xf numFmtId="0" fontId="3" fillId="6" borderId="2" xfId="0" applyFont="1" applyFill="1" applyBorder="1" applyAlignment="1">
      <x:alignment horizontal="center" vertical="center"/>
    </x:xf>
    <x:xf numFmtId="0" fontId="3" fillId="7" borderId="1" xfId="0" applyFont="1" applyFill="1" applyBorder="1" applyAlignment="1">
      <x:alignment horizontal="center" vertical="center"/>
    </x:xf>
    <x:xf numFmtId="0" fontId="3" fillId="7" borderId="2" xfId="0" applyFont="1" applyFill="1" applyBorder="1" applyAlignment="1">
      <x:alignment horizontal="center" vertical="center"/>
    </x:xf>
    <x:xf numFmtId="0" fontId="0" fillId="9" borderId="17" xfId="0" applyFill="1" applyBorder="1" applyAlignment="1">
      <x:alignment vertical="center" wrapText="1"/>
    </x:xf>
    <x:xf numFmtId="0" fontId="0" fillId="9" borderId="18" xfId="0" applyFill="1" applyBorder="1" applyAlignment="1">
      <x:alignment vertical="center" wrapText="1"/>
    </x:xf>
    <x:xf numFmtId="0" fontId="0" fillId="9" borderId="19" xfId="0" applyFill="1" applyBorder="1" applyAlignment="1">
      <x:alignment vertical="center" wrapText="1"/>
    </x:xf>
    <x:xf numFmtId="0" fontId="2" fillId="2" borderId="15" xfId="0" applyFont="1" applyFill="1" applyBorder="1">
      <x:alignment vertical="center"/>
    </x:xf>
    <x:xf numFmtId="0" fontId="10" fillId="2" borderId="0" xfId="0" applyFont="1" applyFill="1" applyAlignment="1">
      <x:alignment horizontal="left" vertical="center"/>
    </x:xf>
    <x:xf numFmtId="0" fontId="11" fillId="3" borderId="0" xfId="0" applyFont="1" applyFill="1">
      <x:alignment vertical="center"/>
    </x:xf>
    <x:xf numFmtId="0" fontId="1" fillId="9" borderId="0" xfId="0" applyFont="1" applyFill="1">
      <x:alignment vertical="center"/>
    </x:xf>
    <x:xf numFmtId="0" fontId="2" fillId="11" borderId="0" xfId="0" applyFont="1" applyFill="1">
      <x:alignment vertical="center"/>
    </x:xf>
    <x:xf numFmtId="0" fontId="8" fillId="12" borderId="9" xfId="0" applyFont="1" applyFill="1" applyBorder="1" applyAlignment="1">
      <x:alignment vertical="center" wrapText="1"/>
    </x:xf>
    <x:xf numFmtId="0" fontId="8" fillId="12" borderId="10" xfId="0" applyFont="1" applyFill="1" applyBorder="1" applyAlignment="1">
      <x:alignment vertical="center" wrapText="1"/>
    </x:xf>
    <x:xf numFmtId="0" fontId="8" fillId="12" borderId="11" xfId="0" applyFont="1" applyFill="1" applyBorder="1" applyAlignment="1">
      <x:alignment vertical="center" wrapText="1"/>
    </x:xf>
    <x:xf numFmtId="0" fontId="8" fillId="12" borderId="12" xfId="0" applyFont="1" applyFill="1" applyBorder="1" applyAlignment="1">
      <x:alignment vertical="center" wrapText="1"/>
    </x:xf>
    <x:xf numFmtId="0" fontId="8" fillId="12" borderId="0" xfId="0" applyFont="1" applyFill="1" applyAlignment="1">
      <x:alignment vertical="center" wrapText="1"/>
    </x:xf>
    <x:xf numFmtId="0" fontId="8" fillId="12" borderId="13" xfId="0" applyFont="1" applyFill="1" applyBorder="1" applyAlignment="1">
      <x:alignment vertical="center" wrapText="1"/>
    </x:xf>
    <x:xf numFmtId="0" fontId="8" fillId="12" borderId="14" xfId="0" applyFont="1" applyFill="1" applyBorder="1" applyAlignment="1">
      <x:alignment vertical="center" wrapText="1"/>
    </x:xf>
    <x:xf numFmtId="0" fontId="8" fillId="12" borderId="15" xfId="0" applyFont="1" applyFill="1" applyBorder="1" applyAlignment="1">
      <x:alignment vertical="center" wrapText="1"/>
    </x:xf>
    <x:xf numFmtId="0" fontId="8" fillId="12" borderId="16" xfId="0" applyFont="1" applyFill="1" applyBorder="1" applyAlignment="1">
      <x:alignment vertical="center" wrapText="1"/>
    </x:xf>
    <x:xf numFmtId="0" fontId="7" fillId="3" borderId="0" xfId="0" applyFont="1" applyFill="1">
      <x:alignment vertical="center"/>
    </x:xf>
    <x:xf numFmtId="0" fontId="2" fillId="2" borderId="0" xfId="0" applyFont="1" applyFill="1">
      <x:alignment vertical="center"/>
    </x:xf>
    <x:xf numFmtId="200" fontId="13" fillId="0" borderId="8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표준" xfId="0"/>
  </x:cellStyles>
  <x:dxfs count="24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22222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8CBAD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b/>
        <x:color rgb="FF222222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1be3d75ca4538" /><Relationship Type="http://schemas.openxmlformats.org/officeDocument/2006/relationships/theme" Target="/xl/theme/theme1.xml" Id="R8276538b472043bd" /><Relationship Type="http://schemas.openxmlformats.org/officeDocument/2006/relationships/sharedStrings" Target="/xl/sharedStrings.xml" Id="R94f2da77fa814d61" /><Relationship Type="http://schemas.openxmlformats.org/officeDocument/2006/relationships/worksheet" Target="/xl/worksheets/sheet1.xml" Id="Rc1c8f4b685d74b93" /><Relationship Type="http://schemas.openxmlformats.org/officeDocument/2006/relationships/worksheet" Target="/xl/worksheets/sheet2.xml" Id="R2005099304c946c0" /><Relationship Type="http://schemas.openxmlformats.org/officeDocument/2006/relationships/worksheet" Target="/xl/worksheets/sheet3.xml" Id="Rdc81a5296e8146aa" /></Relationships>
</file>

<file path=xl/tables/table1.xml><?xml version="1.0" encoding="utf-8"?>
<x:table xmlns:x="http://schemas.openxmlformats.org/spreadsheetml/2006/main" id="3" name="DrawingDevelopmentStatus" displayName="DrawingDevelopmentStatus" ref="A5:Q79" headerRowCount="1" totalsRowCount="0" totalsRowShown="0">
  <x:autoFilter ref="A5:Q79"/>
  <x:tableColumns count="17">
    <x:tableColumn id="1" name="No."/>
    <x:tableColumn id="2" name="도면 종류"/>
    <x:tableColumn id="3" name="대분류"/>
    <x:tableColumn id="4" name="개발 항목"/>
    <x:tableColumn id="5" name="생산 필수"/>
    <x:tableColumn id="6" name="디자인 요소"/>
    <x:tableColumn id="7" name="API/코드 구현"/>
    <x:tableColumn id="8" name="생산 출력 확인"/>
    <x:tableColumn id="9" name="현재 상태"/>
    <x:tableColumn id="10" name="UDA·API / 현재 값"/>
    <x:tableColumn id="11" name="추가 API·앱 개발"/>
    <x:tableColumn id="12" name="추가 분석"/>
    <x:tableColumn id="13" name="출장 개발"/>
    <x:tableColumn id="14" name="최초 구현일"/>
    <x:tableColumn id="15" name="완료 확인일"/>
    <x:tableColumn id="16" name="최근 변경일"/>
    <x:tableColumn id="17" name="근거·비고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3f2d45ea3846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8"/>
  <x:cols>
    <x:col min="1" max="1" width="19.19921875" style="1" customWidth="1"/>
    <x:col min="2" max="2" width="6.796875" style="1" customWidth="1"/>
    <x:col min="3" max="3" width="35.69921875" style="1" customWidth="1"/>
    <x:col min="4" max="4" width="13.69921875" style="1" customWidth="1"/>
    <x:col min="5" max="5" width="20.19921875" style="1" customWidth="1"/>
    <x:col min="6" max="6" width="30.69921875" style="1" customWidth="1"/>
    <x:col min="7" max="7" width="17.59765625" customWidth="1"/>
    <x:col min="8" max="8" width="11.19921875" customWidth="1"/>
    <x:col min="9" max="16384" width="8.796875" style="1" customWidth="0"/>
  </x:cols>
  <x:sheetData>
    <x:row r="1" ht="34.04999923706055" customHeight="1">
      <x:c r="A1" s="10" t="s">
        <x:v>0</x:v>
      </x:c>
      <x:c r="B1" s="10"/>
      <x:c r="C1" s="10"/>
      <x:c r="D1" s="10"/>
      <x:c r="E1" s="10"/>
      <x:c r="F1" s="10"/>
      <x:c r="G1" s="10"/>
      <x:c r="H1" s="10"/>
    </x:row>
    <x:row r="2">
      <x:c r="A2" s="11" t="str">
        <x:v>기준일 2026-07-23 · 코드 구현과 실기/생산 검증을 분리해 판정 · 최근 Issue와 개발 이력 반영</x:v>
      </x:c>
      <x:c r="B2" s="11"/>
      <x:c r="C2" s="11"/>
      <x:c r="D2" s="11"/>
      <x:c r="E2" s="11"/>
      <x:c r="F2" s="11"/>
      <x:c r="G2" s="11"/>
      <x:c r="H2" s="11"/>
    </x:row>
    <x:row r="3">
      <x:c r="A3"/>
      <x:c r="B3"/>
      <x:c r="C3"/>
      <x:c r="D3"/>
      <x:c r="E3"/>
      <x:c r="F3"/>
    </x:row>
    <x:row r="4">
      <x:c r="A4" s="12" t="s">
        <x:v>1</x:v>
      </x:c>
      <x:c r="B4" s="13"/>
      <x:c r="C4" s="18" t="s">
        <x:v>2</x:v>
      </x:c>
      <x:c r="D4" s="19"/>
      <x:c r="E4" s="20" t="s">
        <x:v>3</x:v>
      </x:c>
      <x:c r="F4" s="21"/>
      <x:c r="G4" s="22" t="s">
        <x:v>4</x:v>
      </x:c>
      <x:c r="H4" s="23"/>
    </x:row>
    <x:row r="5">
      <x:c r="A5" s="14" t="n">
        <x:f>COUNTA('개발 항목'!$D$6:$D$79)</x:f>
        <x:v>74</x:v>
      </x:c>
      <x:c r="B5" s="15"/>
      <x:c r="C5" s="14" t="n">
        <x:f>COUNTIF('개발 항목'!$I$6:$I$79,"완료")</x:f>
        <x:v>27</x:v>
      </x:c>
      <x:c r="D5" s="15"/>
      <x:c r="E5" s="14" t="n">
        <x:f>COUNTIF('개발 항목'!$I$6:$I$79,"실기 검증 대기")</x:f>
        <x:v>10</x:v>
      </x:c>
      <x:c r="F5" s="15"/>
      <x:c r="G5" s="14" t="n">
        <x:f>COUNTIFS('개발 항목'!$E$6:$E$79,"○",'개발 항목'!$H$6:$H$79,"&lt;&gt;O")</x:f>
        <x:v>35</x:v>
      </x:c>
      <x:c r="H5" s="15"/>
    </x:row>
    <x:row r="6">
      <x:c r="A6" s="16"/>
      <x:c r="B6" s="17"/>
      <x:c r="C6" s="16"/>
      <x:c r="D6" s="17"/>
      <x:c r="E6" s="16"/>
      <x:c r="F6" s="17"/>
      <x:c r="G6" s="16"/>
      <x:c r="H6" s="17"/>
    </x:row>
    <x:row r="7">
      <x:c r="A7"/>
      <x:c r="B7"/>
      <x:c r="C7"/>
      <x:c r="D7"/>
      <x:c r="E7"/>
      <x:c r="F7"/>
    </x:row>
    <x:row r="8">
      <x:c r="A8" s="27" t="s">
        <x:v>5</x:v>
      </x:c>
      <x:c r="B8" s="27"/>
      <x:c r="C8" s="27"/>
      <x:c r="D8" s="27"/>
      <x:c r="E8" s="27"/>
      <x:c r="F8" s="27"/>
      <x:c r="G8" s="27"/>
      <x:c r="H8" s="27"/>
    </x:row>
    <x:row r="9" ht="18" customHeight="1">
      <x:c r="A9" s="6" t="s">
        <x:v>6</x:v>
      </x:c>
      <x:c r="B9" s="6" t="s">
        <x:v>7</x:v>
      </x:c>
      <x:c r="C9" s="6" t="s">
        <x:v>8</x:v>
      </x:c>
      <x:c r="D9" s="6" t="s">
        <x:v>9</x:v>
      </x:c>
      <x:c r="E9" s="6" t="s">
        <x:v>10</x:v>
      </x:c>
      <x:c r="F9" s="6" t="s">
        <x:v>11</x:v>
      </x:c>
      <x:c r="G9" s="6" t="s">
        <x:v>12</x:v>
      </x:c>
      <x:c r="H9" s="6" t="s">
        <x:v>13</x:v>
      </x:c>
    </x:row>
    <x:row r="10" ht="42" customHeight="1">
      <x:c r="A10" s="8" t="n">
        <x:v>1</x:v>
      </x:c>
      <x:c r="B10" s="7" t="str">
        <x:v>가공도</x:v>
      </x:c>
      <x:c r="C10" s="7" t="str">
        <x:v>첫 2D 캡처 AccessViolation</x:v>
      </x:c>
      <x:c r="D10" s="8" t="str">
        <x:v>출력 불가</x:v>
      </x:c>
      <x:c r="E10" s="7" t="str">
        <x:v>가공도·4종 일괄 차단</x:v>
      </x:c>
      <x:c r="F10" s="7" t="str">
        <x:v>API 요청 전달 후 수정본 재검증</x:v>
      </x:c>
      <x:c r="G10" s="7" t="str">
        <x:v>가공도 캡처 경로</x:v>
      </x:c>
      <x:c r="H10" s="43" t="n">
        <x:v>46225</x:v>
      </x:c>
    </x:row>
    <x:row r="11" ht="42" customHeight="1">
      <x:c r="A11" s="8" t="n">
        <x:v>2</x:v>
      </x:c>
      <x:c r="B11" s="7" t="str">
        <x:v>설치도</x:v>
      </x:c>
      <x:c r="C11" s="7" t="str">
        <x:v>기준 Part 끝단→연결 Part 접합측 모서리 치수</x:v>
      </x:c>
      <x:c r="D11" s="8" t="str">
        <x:v>실기 검증 대기</x:v>
      </x:c>
      <x:c r="E11" s="7" t="str">
        <x:v>설치 위치 정보 신뢰성</x:v>
      </x:c>
      <x:c r="F11" s="7" t="str">
        <x:v>대표 STRU PDF로 실제 끝단·모서리 검증</x:v>
      </x:c>
      <x:c r="G11" s="7" t="str">
        <x:v>설치도 PreparedDimensions</x:v>
      </x:c>
      <x:c r="H11" s="43" t="n">
        <x:v>46225</x:v>
      </x:c>
    </x:row>
    <x:row r="12" ht="42" customHeight="1">
      <x:c r="A12" s="8" t="n">
        <x:v>3</x:v>
      </x:c>
      <x:c r="B12" s="7" t="str">
        <x:v>공통</x:v>
      </x:c>
      <x:c r="C12" s="7" t="str">
        <x:v>Note 빈 영역 테두리 선택 제거 API</x:v>
      </x:c>
      <x:c r="D12" s="8" t="str">
        <x:v>API 대기</x:v>
      </x:c>
      <x:c r="E12" s="7" t="str">
        <x:v>고정 템플릿 테두리 훼손</x:v>
      </x:c>
      <x:c r="F12" s="7" t="str">
        <x:v>2026-07-23 API 배포 후 재검증</x:v>
      </x:c>
      <x:c r="G12" s="7" t="str">
        <x:v>템플릿 테두리 API</x:v>
      </x:c>
      <x:c r="H12" s="43" t="n">
        <x:v>46226</x:v>
      </x:c>
    </x:row>
    <x:row r="13" ht="42" customHeight="1">
      <x:c r="A13" s="8" t="n">
        <x:v>4</x:v>
      </x:c>
      <x:c r="B13" s="7" t="str">
        <x:v>공통</x:v>
      </x:c>
      <x:c r="C13" s="7" t="str">
        <x:v>2D 모서리·홀·실선/은선 누락</x:v>
      </x:c>
      <x:c r="D13" s="8" t="str">
        <x:v>API 대기</x:v>
      </x:c>
      <x:c r="E13" s="7" t="str">
        <x:v>형상 누락</x:v>
      </x:c>
      <x:c r="F13" s="7" t="str">
        <x:v>2026-07-23 API 배포분으로 재검증</x:v>
      </x:c>
      <x:c r="G13" s="7" t="str">
        <x:v>형상·은선 렌더</x:v>
      </x:c>
      <x:c r="H13" s="43" t="n">
        <x:v>46226</x:v>
      </x:c>
    </x:row>
    <x:row r="14" ht="42" customHeight="1">
      <x:c r="A14" s="8" t="n">
        <x:v>5</x:v>
      </x:c>
      <x:c r="B14" s="7" t="str">
        <x:v>가공도</x:v>
      </x:c>
      <x:c r="C14" s="7" t="str">
        <x:v>EA 축척·풍선·은선</x:v>
      </x:c>
      <x:c r="D14" s="8" t="str">
        <x:v>API 대기</x:v>
      </x:c>
      <x:c r="E14" s="7" t="str">
        <x:v>가공 치수·표현</x:v>
      </x:c>
      <x:c r="F14" s="7" t="str">
        <x:v>신 DLL 적용 후 EA 실기</x:v>
      </x:c>
      <x:c r="G14" s="7" t="str">
        <x:v>EA 렌더·SDK</x:v>
      </x:c>
      <x:c r="H14" s="43" t="n">
        <x:v>46226</x:v>
      </x:c>
    </x:row>
    <x:row r="15" ht="42" customHeight="1">
      <x:c r="A15" s="8" t="n">
        <x:v>6</x:v>
      </x:c>
      <x:c r="B15" s="7" t="str">
        <x:v>BOM</x:v>
      </x:c>
      <x:c r="C15" s="7" t="str">
        <x:v>Q'TY·MA·FA 실제 데이터</x:v>
      </x:c>
      <x:c r="D15" s="8" t="str">
        <x:v>개발 필요</x:v>
      </x:c>
      <x:c r="E15" s="7" t="str">
        <x:v>BOM 생산정보 오류</x:v>
      </x:c>
      <x:c r="F15" s="7" t="str">
        <x:v>UDA/집계 규칙 확정</x:v>
      </x:c>
      <x:c r="G15" s="7" t="str">
        <x:v>현재 임시값</x:v>
      </x:c>
      <x:c r="H15" s="43" t="n">
        <x:v>46226</x:v>
      </x:c>
    </x:row>
    <x:row r="16" ht="42" customHeight="1">
      <x:c r="A16" s="8" t="n">
        <x:v>7</x:v>
      </x:c>
      <x:c r="B16" s="7" t="str">
        <x:v>표제부</x:v>
      </x:c>
      <x:c r="C16" s="7" t="str">
        <x:v>Paint Code(PNT)·DP No·Note·Rev</x:v>
      </x:c>
      <x:c r="D16" s="8" t="str">
        <x:v>개발 대기</x:v>
      </x:c>
      <x:c r="E16" s="7" t="str">
        <x:v>생산/문서정보 누락</x:v>
      </x:c>
      <x:c r="F16" s="7" t="str">
        <x:v>PNT→Input 165 구현과 입력 데이터 확정</x:v>
      </x:c>
      <x:c r="G16" s="7" t="str">
        <x:v>PNT UDA·템플릿 자리</x:v>
      </x:c>
      <x:c r="H16" s="43" t="n">
        <x:v>46226</x:v>
      </x:c>
    </x:row>
    <x:row r="17" ht="42" customHeight="1">
      <x:c r="A17" s="8" t="n">
        <x:v>8</x:v>
      </x:c>
      <x:c r="B17" s="7" t="str">
        <x:v>공통</x:v>
      </x:c>
      <x:c r="C17" s="7" t="str">
        <x:v>기울어진 부재·라운드·모떼기</x:v>
      </x:c>
      <x:c r="D17" s="8" t="str">
        <x:v>분석 필요</x:v>
      </x:c>
      <x:c r="E17" s="7" t="str">
        <x:v>치수·형상 표현</x:v>
      </x:c>
      <x:c r="F17" s="7" t="str">
        <x:v>적용 범위와 필터 조건 확정</x:v>
      </x:c>
      <x:c r="G17" s="7" t="str">
        <x:v>형상·치수 분석</x:v>
      </x:c>
      <x:c r="H17" s="43" t="n">
        <x:v>46226</x:v>
      </x:c>
    </x:row>
    <x:row r="18" ht="42" customHeight="1">
      <x:c r="A18" s="8" t="n">
        <x:v>9</x:v>
      </x:c>
      <x:c r="B18" s="7" t="str">
        <x:v>최종</x:v>
      </x:c>
      <x:c r="C18" s="7" t="str">
        <x:v>제작·가공·설치도 최종 생산 출력</x:v>
      </x:c>
      <x:c r="D18" s="8" t="str">
        <x:v>부분 구현</x:v>
      </x:c>
      <x:c r="E18" s="7" t="str">
        <x:v>과제 완료 기준</x:v>
      </x:c>
      <x:c r="F18" s="7" t="str">
        <x:v>가공도 차단 해소 후 3종 PDF 확정</x:v>
      </x:c>
      <x:c r="G18" s="7" t="str">
        <x:v>도면별 출력 경로</x:v>
      </x:c>
      <x:c r="H18" s="43" t="n">
        <x:v>46226</x:v>
      </x:c>
    </x:row>
    <x:row r="19" ht="18" customHeight="1">
      <x:c r="A19"/>
      <x:c r="B19"/>
      <x:c r="C19"/>
      <x:c r="D19"/>
      <x:c r="E19"/>
      <x:c r="F19"/>
    </x:row>
    <x:row r="20" ht="18" customHeight="1">
      <x:c r="A20" s="27" t="s">
        <x:v>14</x:v>
      </x:c>
      <x:c r="B20" s="27"/>
      <x:c r="C20" s="27"/>
      <x:c r="D20" s="27"/>
      <x:c r="E20" s="27"/>
      <x:c r="F20" s="27"/>
      <x:c r="G20" s="27"/>
      <x:c r="H20" s="27"/>
    </x:row>
    <x:row r="21" ht="30" customHeight="1">
      <x:c r="A21" s="4" t="s">
        <x:v>15</x:v>
      </x:c>
      <x:c r="B21" s="24" t="s">
        <x:v>16</x:v>
      </x:c>
      <x:c r="C21" s="25"/>
      <x:c r="D21" s="25"/>
      <x:c r="E21" s="25"/>
      <x:c r="F21" s="25"/>
      <x:c r="G21" s="25"/>
      <x:c r="H21" s="26"/>
    </x:row>
    <x:row r="22" ht="30" customHeight="1">
      <x:c r="A22" s="4" t="s">
        <x:v>17</x:v>
      </x:c>
      <x:c r="B22" s="24" t="str">
        <x:v>SPREF가 없거나 비면 ITEM은 unset, 후속 빈 셀은 -로 표시합니다. Q'TY·MA·FA의 실제 데이터 규칙은 아직 미정입니다.</x:v>
      </x:c>
      <x:c r="C22" s="25"/>
      <x:c r="D22" s="25"/>
      <x:c r="E22" s="25"/>
      <x:c r="F22" s="25"/>
      <x:c r="G22" s="25"/>
      <x:c r="H22" s="26"/>
    </x:row>
    <x:row r="23" ht="30" customHeight="1">
      <x:c r="A23" s="4" t="s">
        <x:v>18</x:v>
      </x:c>
      <x:c r="B23" s="24" t="s">
        <x:v>19</x:v>
      </x:c>
      <x:c r="C23" s="25"/>
      <x:c r="D23" s="25"/>
      <x:c r="E23" s="25"/>
      <x:c r="F23" s="25"/>
      <x:c r="G23" s="25"/>
      <x:c r="H23" s="26"/>
    </x:row>
    <x:row r="24" ht="30" customHeight="1">
      <x:c r="A24" s="4" t="s">
        <x:v>20</x:v>
      </x:c>
      <x:c r="B24" s="24" t="str">
        <x:v>Paint Code는 STRU UDA PNT를 Input 165에 연결하는 개발 대기 상태입니다. Note·Rev는 입력 기능이 아직 없습니다.</x:v>
      </x:c>
      <x:c r="C24" s="25"/>
      <x:c r="D24" s="25"/>
      <x:c r="E24" s="25"/>
      <x:c r="F24" s="25"/>
      <x:c r="G24" s="25"/>
      <x:c r="H24" s="26"/>
    </x:row>
    <x:row r="25" ht="30" customHeight="1">
      <x:c r="A25" s="4" t="s">
        <x:v>21</x:v>
      </x:c>
      <x:c r="B25" s="24" t="s">
        <x:v>22</x:v>
      </x:c>
      <x:c r="C25" s="25"/>
      <x:c r="D25" s="25"/>
      <x:c r="E25" s="25"/>
      <x:c r="F25" s="25"/>
      <x:c r="G25" s="25"/>
      <x:c r="H25" s="26"/>
    </x:row>
  </x:sheetData>
  <x:mergeCells>
    <x:mergeCell ref="B24:H24"/>
    <x:mergeCell ref="B25:H25"/>
    <x:mergeCell ref="A8:H8"/>
    <x:mergeCell ref="A20:H20"/>
    <x:mergeCell ref="B22:H22"/>
    <x:mergeCell ref="B23:H23"/>
    <x:mergeCell ref="B21:H21"/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8"/>
  <x:cols>
    <x:col min="1" max="1" width="10.3984375" style="5" customWidth="1"/>
    <x:col min="2" max="2" width="17.796875" style="5" customWidth="1"/>
    <x:col min="3" max="3" width="13" style="5" customWidth="1"/>
    <x:col min="4" max="4" width="30.5" style="5" customWidth="1"/>
    <x:col min="5" max="5" width="13.69921875" style="5" customWidth="1"/>
    <x:col min="6" max="6" width="13.19921875" style="5" customWidth="1"/>
    <x:col min="7" max="7" width="15" style="5" customWidth="1"/>
    <x:col min="8" max="9" width="15.5" customWidth="1"/>
    <x:col min="10" max="10" width="37" style="5" customWidth="1"/>
    <x:col min="11" max="11" width="17.19921875" style="5" customWidth="1"/>
    <x:col min="12" max="13" width="13.69921875" customWidth="1"/>
    <x:col min="14" max="16" width="15.5" customWidth="1"/>
    <x:col min="17" max="17" width="52.09765625" style="5" customWidth="1"/>
    <x:col min="18" max="18" width="45.5" style="5" customWidth="1"/>
    <x:col min="19" max="16384" width="8.796875" style="5" customWidth="0"/>
  </x:cols>
  <x:sheetData>
    <x:row r="1" ht="34.04999923706055" customHeight="1">
      <x:c r="A1" s="28" t="s">
        <x:v>23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</x:row>
    <x:row r="2">
      <x:c r="A2" s="29" t="s">
        <x:v>24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</x:row>
    <x:row r="3">
      <x:c r="A3" s="30" t="s">
        <x:v>25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</x:row>
    <x:row r="5" ht="43.95000076293945" customHeight="1">
      <x:c r="A5" s="6" t="s">
        <x:v>26</x:v>
      </x:c>
      <x:c r="B5" s="6" t="s">
        <x:v>27</x:v>
      </x:c>
      <x:c r="C5" s="6" t="s">
        <x:v>28</x:v>
      </x:c>
      <x:c r="D5" s="6" t="s">
        <x:v>29</x:v>
      </x:c>
      <x:c r="E5" s="6" t="s">
        <x:v>30</x:v>
      </x:c>
      <x:c r="F5" s="6" t="s">
        <x:v>31</x:v>
      </x:c>
      <x:c r="G5" s="6" t="s">
        <x:v>32</x:v>
      </x:c>
      <x:c r="H5" s="6" t="s">
        <x:v>33</x:v>
      </x:c>
      <x:c r="I5" s="6" t="s">
        <x:v>34</x:v>
      </x:c>
      <x:c r="J5" s="6" t="s">
        <x:v>35</x:v>
      </x:c>
      <x:c r="K5" s="6" t="s">
        <x:v>36</x:v>
      </x:c>
      <x:c r="L5" s="6" t="s">
        <x:v>37</x:v>
      </x:c>
      <x:c r="M5" s="6" t="s">
        <x:v>38</x:v>
      </x:c>
      <x:c r="N5" s="6" t="s">
        <x:v>39</x:v>
      </x:c>
      <x:c r="O5" s="6" t="s">
        <x:v>40</x:v>
      </x:c>
      <x:c r="P5" s="6" t="s">
        <x:v>41</x:v>
      </x:c>
      <x:c r="Q5" s="6" t="s">
        <x:v>42</x:v>
      </x:c>
      <x:c r="R5"/>
    </x:row>
    <x:row r="6" ht="42" customHeight="1">
      <x:c r="A6" s="8" t="n">
        <x:v>5</x:v>
      </x:c>
      <x:c r="B6" s="8" t="str">
        <x:v>가공도</x:v>
      </x:c>
      <x:c r="C6" s="8" t="str">
        <x:v>출력 흐름</x:v>
      </x:c>
      <x:c r="D6" s="7" t="str">
        <x:v>가공도 자동 일괄 출력</x:v>
      </x:c>
      <x:c r="E6" s="8" t="str">
        <x:v>○</x:v>
      </x:c>
      <x:c r="F6" s="8" t="str">
        <x:v>X</x:v>
      </x:c>
      <x:c r="G6" s="8" t="str">
        <x:v>X</x:v>
      </x:c>
      <x:c r="H6" s="8" t="str">
        <x:v>X</x:v>
      </x:c>
      <x:c r="I6" s="8" t="str">
        <x:v>개발 필요</x:v>
      </x:c>
      <x:c r="J6" s="7" t="str">
        <x:v>자동 STRU 루프에서 현재 강제 제외</x:v>
      </x:c>
      <x:c r="K6" s="8" t="str">
        <x:v>앱 개발</x:v>
      </x:c>
      <x:c r="L6" s="8" t="str">
        <x:v>X</x:v>
      </x:c>
      <x:c r="M6" s="8" t="str">
        <x:v>X</x:v>
      </x:c>
      <x:c r="N6" s="43"/>
      <x:c r="O6" s="43"/>
      <x:c r="P6" s="43" t="n">
        <x:v>46168</x:v>
      </x:c>
      <x:c r="Q6" s="7" t="str">
        <x:v>가공도 크래시 해결 후 자동 루프 복구 필요</x:v>
      </x:c>
      <x:c r="R6"/>
    </x:row>
    <x:row r="7" ht="42" customHeight="1">
      <x:c r="A7" s="8" t="n">
        <x:v>27</x:v>
      </x:c>
      <x:c r="B7" s="8" t="str">
        <x:v>제작·조립·설치·가공</x:v>
      </x:c>
      <x:c r="C7" s="8" t="str">
        <x:v>BOM</x:v>
      </x:c>
      <x:c r="D7" s="7" t="str">
        <x:v>Q'TY</x:v>
      </x:c>
      <x:c r="E7" s="8" t="str">
        <x:v>○</x:v>
      </x:c>
      <x:c r="F7" s="8" t="str">
        <x:v>X</x:v>
      </x:c>
      <x:c r="G7" s="8" t="str">
        <x:v>X</x:v>
      </x:c>
      <x:c r="H7" s="8" t="str">
        <x:v>X</x:v>
      </x:c>
      <x:c r="I7" s="8" t="str">
        <x:v>개발 필요</x:v>
      </x:c>
      <x:c r="J7" s="7" t="str">
        <x:v>현재 항상 1</x:v>
      </x:c>
      <x:c r="K7" s="8" t="str">
        <x:v>UDA/집계 규칙</x:v>
      </x:c>
      <x:c r="L7" s="8" t="str">
        <x:v>O</x:v>
      </x:c>
      <x:c r="M7" s="8" t="str">
        <x:v>X</x:v>
      </x:c>
      <x:c r="N7" s="43"/>
      <x:c r="O7" s="43"/>
      <x:c r="P7" s="43" t="n">
        <x:v>46225</x:v>
      </x:c>
      <x:c r="Q7" s="7" t="str">
        <x:v>동일 부재 집계 또는 수량 UDA 정의 필요</x:v>
      </x:c>
      <x:c r="R7"/>
    </x:row>
    <x:row r="8" ht="42" customHeight="1">
      <x:c r="A8" s="8" t="n">
        <x:v>29</x:v>
      </x:c>
      <x:c r="B8" s="8" t="str">
        <x:v>제작·조립·설치·가공</x:v>
      </x:c>
      <x:c r="C8" s="8" t="str">
        <x:v>BOM</x:v>
      </x:c>
      <x:c r="D8" s="7" t="str">
        <x:v>MA</x:v>
      </x:c>
      <x:c r="E8" s="8" t="str">
        <x:v>○</x:v>
      </x:c>
      <x:c r="F8" s="8" t="str">
        <x:v>X</x:v>
      </x:c>
      <x:c r="G8" s="8" t="str">
        <x:v>X</x:v>
      </x:c>
      <x:c r="H8" s="8" t="str">
        <x:v>X</x:v>
      </x:c>
      <x:c r="I8" s="8" t="str">
        <x:v>개발 필요</x:v>
      </x:c>
      <x:c r="J8" s="7" t="str">
        <x:v>현재 데이터행 L, 요약행 F 고정</x:v>
      </x:c>
      <x:c r="K8" s="8" t="str">
        <x:v>UDA/업무 규칙</x:v>
      </x:c>
      <x:c r="L8" s="8" t="str">
        <x:v>O</x:v>
      </x:c>
      <x:c r="M8" s="8" t="str">
        <x:v>X</x:v>
      </x:c>
      <x:c r="N8" s="43"/>
      <x:c r="O8" s="43"/>
      <x:c r="P8" s="43" t="n">
        <x:v>46225</x:v>
      </x:c>
      <x:c r="Q8" s="7" t="str">
        <x:v>실제 의미와 데이터 원천 미정</x:v>
      </x:c>
      <x:c r="R8"/>
    </x:row>
    <x:row r="9" ht="42" customHeight="1">
      <x:c r="A9" s="8" t="n">
        <x:v>30</x:v>
      </x:c>
      <x:c r="B9" s="8" t="str">
        <x:v>제작·조립·설치·가공</x:v>
      </x:c>
      <x:c r="C9" s="8" t="str">
        <x:v>BOM</x:v>
      </x:c>
      <x:c r="D9" s="7" t="str">
        <x:v>FA</x:v>
      </x:c>
      <x:c r="E9" s="8" t="str">
        <x:v>○</x:v>
      </x:c>
      <x:c r="F9" s="8" t="str">
        <x:v>X</x:v>
      </x:c>
      <x:c r="G9" s="8" t="str">
        <x:v>X</x:v>
      </x:c>
      <x:c r="H9" s="8" t="str">
        <x:v>X</x:v>
      </x:c>
      <x:c r="I9" s="8" t="str">
        <x:v>개발 필요</x:v>
      </x:c>
      <x:c r="J9" s="7" t="str">
        <x:v>현재 항상 F</x:v>
      </x:c>
      <x:c r="K9" s="8" t="str">
        <x:v>UDA/업무 규칙</x:v>
      </x:c>
      <x:c r="L9" s="8" t="str">
        <x:v>O</x:v>
      </x:c>
      <x:c r="M9" s="8" t="str">
        <x:v>X</x:v>
      </x:c>
      <x:c r="N9" s="43"/>
      <x:c r="O9" s="43"/>
      <x:c r="P9" s="43" t="n">
        <x:v>46225</x:v>
      </x:c>
      <x:c r="Q9" s="7" t="str">
        <x:v>실제 의미와 데이터 원천 미정</x:v>
      </x:c>
      <x:c r="R9"/>
    </x:row>
    <x:row r="10" ht="42" customHeight="1">
      <x:c r="A10" s="8" t="n">
        <x:v>34</x:v>
      </x:c>
      <x:c r="B10" s="8" t="str">
        <x:v>제작·가공</x:v>
      </x:c>
      <x:c r="C10" s="8" t="str">
        <x:v>표제부</x:v>
      </x:c>
      <x:c r="D10" s="7" t="str">
        <x:v>PAINT CODE (STRU UDA PNT)</x:v>
      </x:c>
      <x:c r="E10" s="8" t="str">
        <x:v>○</x:v>
      </x:c>
      <x:c r="F10" s="8" t="str">
        <x:v>X</x:v>
      </x:c>
      <x:c r="G10" s="8" t="str">
        <x:v>X</x:v>
      </x:c>
      <x:c r="H10" s="8" t="str">
        <x:v>X</x:v>
      </x:c>
      <x:c r="I10" s="8" t="str">
        <x:v>개발 대기</x:v>
      </x:c>
      <x:c r="J10" s="7" t="str">
        <x:v>Input 165 값칸은 있으나 현재 공백 유지</x:v>
      </x:c>
      <x:c r="K10" s="8" t="str">
        <x:v>앱 개발</x:v>
      </x:c>
      <x:c r="L10" s="8" t="str">
        <x:v>X</x:v>
      </x:c>
      <x:c r="M10" s="8" t="str">
        <x:v>X</x:v>
      </x:c>
      <x:c r="N10" s="43" t="n">
        <x:v>46213</x:v>
      </x:c>
      <x:c r="O10" s="43"/>
      <x:c r="P10" s="43" t="n">
        <x:v>46226</x:v>
      </x:c>
      <x:c r="Q10" s="7" t="str">
        <x:v>STRU 상위에서 키 이름에 PNT가 포함된 UDA 값을 찾아 제작도·가공도 Input 165에 표시</x:v>
      </x:c>
      <x:c r="R10"/>
    </x:row>
    <x:row r="11" ht="42" customHeight="1">
      <x:c r="A11" s="8" t="n">
        <x:v>35</x:v>
      </x:c>
      <x:c r="B11" s="8" t="str">
        <x:v>제작·조립·설치·가공</x:v>
      </x:c>
      <x:c r="C11" s="8" t="str">
        <x:v>표제부</x:v>
      </x:c>
      <x:c r="D11" s="7" t="str">
        <x:v>PNOD / No Paint 표시</x:v>
      </x:c>
      <x:c r="E11" s="8" t="str">
        <x:v>○</x:v>
      </x:c>
      <x:c r="F11" s="8" t="str">
        <x:v>X</x:v>
      </x:c>
      <x:c r="G11" s="8" t="str">
        <x:v>X</x:v>
      </x:c>
      <x:c r="H11" s="8" t="str">
        <x:v>X</x:v>
      </x:c>
      <x:c r="I11" s="8" t="str">
        <x:v>개발 필요</x:v>
      </x:c>
      <x:c r="J11" s="7" t="str">
        <x:v>현재 값 연결 없음</x:v>
      </x:c>
      <x:c r="K11" s="8" t="str">
        <x:v>UDA/업무 규칙</x:v>
      </x:c>
      <x:c r="L11" s="8" t="str">
        <x:v>O</x:v>
      </x:c>
      <x:c r="M11" s="8" t="str">
        <x:v>X</x:v>
      </x:c>
      <x:c r="N11" s="43"/>
      <x:c r="O11" s="43"/>
      <x:c r="P11" s="43" t="n">
        <x:v>46225</x:v>
      </x:c>
      <x:c r="Q11" s="7" t="str">
        <x:v>기존 파일의 생산 필수 항목; Paint와 함께 정의 필요</x:v>
      </x:c>
      <x:c r="R11"/>
    </x:row>
    <x:row r="12" ht="42" customHeight="1">
      <x:c r="A12" s="8" t="n">
        <x:v>7</x:v>
      </x:c>
      <x:c r="B12" s="8" t="str">
        <x:v>공통</x:v>
      </x:c>
      <x:c r="C12" s="8" t="str">
        <x:v>성능</x:v>
      </x:c>
      <x:c r="D12" s="7" t="str">
        <x:v>도면 리스트 클릭 즉시 조회 캐시</x:v>
      </x:c>
      <x:c r="E12" s="8" t="str">
        <x:v>△</x:v>
      </x:c>
      <x:c r="F12" s="8" t="str">
        <x:v>X</x:v>
      </x:c>
      <x:c r="G12" s="8" t="str">
        <x:v>O</x:v>
      </x:c>
      <x:c r="H12" s="8" t="str">
        <x:v>O</x:v>
      </x:c>
      <x:c r="I12" s="8" t="str">
        <x:v>완료</x:v>
      </x:c>
      <x:c r="J12" s="7" t="str">
        <x:v>시트별 치수·BOM 사전 준비, Body→Part/UDA 캐시</x:v>
      </x:c>
      <x:c r="K12" s="8" t="str">
        <x:v>없음</x:v>
      </x:c>
      <x:c r="L12" s="8" t="str">
        <x:v>X</x:v>
      </x:c>
      <x:c r="M12" s="8" t="str">
        <x:v>O</x:v>
      </x:c>
      <x:c r="N12" s="43" t="n">
        <x:v>46224</x:v>
      </x:c>
      <x:c r="O12" s="43" t="n">
        <x:v>46224</x:v>
      </x:c>
      <x:c r="P12" s="43" t="n">
        <x:v>46224</x:v>
      </x:c>
      <x:c r="Q12" s="7" t="str">
        <x:v>8731 Body 모델에서 반복 재수집 제거</x:v>
      </x:c>
      <x:c r="R12"/>
    </x:row>
    <x:row r="13" ht="42" customHeight="1">
      <x:c r="A13" s="8" t="n">
        <x:v>8</x:v>
      </x:c>
      <x:c r="B13" s="8" t="str">
        <x:v>공통</x:v>
      </x:c>
      <x:c r="C13" s="8" t="str">
        <x:v>성능</x:v>
      </x:c>
      <x:c r="D13" s="7" t="str">
        <x:v>2D/가공도 출력 깜빡임 제거</x:v>
      </x:c>
      <x:c r="E13" s="8" t="str">
        <x:v>X</x:v>
      </x:c>
      <x:c r="F13" s="8" t="str">
        <x:v>○</x:v>
      </x:c>
      <x:c r="G13" s="8" t="str">
        <x:v>O</x:v>
      </x:c>
      <x:c r="H13" s="8" t="str">
        <x:v>O</x:v>
      </x:c>
      <x:c r="I13" s="8" t="str">
        <x:v>완료</x:v>
      </x:c>
      <x:c r="J13" s="7" t="str">
        <x:v>Clear2DView의 ViewMode 왕복 제거</x:v>
      </x:c>
      <x:c r="K13" s="8" t="str">
        <x:v>없음</x:v>
      </x:c>
      <x:c r="L13" s="8" t="str">
        <x:v>X</x:v>
      </x:c>
      <x:c r="M13" s="8" t="str">
        <x:v>O</x:v>
      </x:c>
      <x:c r="N13" s="43" t="n">
        <x:v>46225</x:v>
      </x:c>
      <x:c r="O13" s="43" t="n">
        <x:v>46225</x:v>
      </x:c>
      <x:c r="P13" s="43" t="n">
        <x:v>46225</x:v>
      </x:c>
      <x:c r="Q13" s="7" t="str">
        <x:v>페이지당 약 600ms 지연도 함께 제거</x:v>
      </x:c>
      <x:c r="R13"/>
    </x:row>
    <x:row r="14" ht="42" customHeight="1">
      <x:c r="A14" s="8" t="n">
        <x:v>37</x:v>
      </x:c>
      <x:c r="B14" s="8" t="str">
        <x:v>제작·조립·설치·가공</x:v>
      </x:c>
      <x:c r="C14" s="8" t="str">
        <x:v>표제부</x:v>
      </x:c>
      <x:c r="D14" s="7" t="str">
        <x:v>Note 입력·저장·출력</x:v>
      </x:c>
      <x:c r="E14" s="8" t="str">
        <x:v>○</x:v>
      </x:c>
      <x:c r="F14" s="8" t="str">
        <x:v>X</x:v>
      </x:c>
      <x:c r="G14" s="8" t="str">
        <x:v>X</x:v>
      </x:c>
      <x:c r="H14" s="8" t="str">
        <x:v>X</x:v>
      </x:c>
      <x:c r="I14" s="8" t="str">
        <x:v>개발 필요</x:v>
      </x:c>
      <x:c r="J14" s="7" t="str">
        <x:v>Input 164/200 칸은 있으나 입력 소스 없음</x:v>
      </x:c>
      <x:c r="K14" s="8" t="str">
        <x:v>앱 개발</x:v>
      </x:c>
      <x:c r="L14" s="8" t="str">
        <x:v>O</x:v>
      </x:c>
      <x:c r="M14" s="8" t="str">
        <x:v>O</x:v>
      </x:c>
      <x:c r="N14" s="43" t="n">
        <x:v>46213</x:v>
      </x:c>
      <x:c r="O14" s="43"/>
      <x:c r="P14" s="43" t="n">
        <x:v>46225</x:v>
      </x:c>
      <x:c r="Q14" s="7" t="str">
        <x:v>UI·저장 모델·출력 배선이 모두 필요</x:v>
      </x:c>
      <x:c r="R14"/>
    </x:row>
    <x:row r="15" ht="42" customHeight="1">
      <x:c r="A15" s="8" t="n">
        <x:v>39</x:v>
      </x:c>
      <x:c r="B15" s="8" t="str">
        <x:v>제작·조립·설치·가공</x:v>
      </x:c>
      <x:c r="C15" s="8" t="str">
        <x:v>표제부</x:v>
      </x:c>
      <x:c r="D15" s="7" t="str">
        <x:v>Rev 입력·이력·출력</x:v>
      </x:c>
      <x:c r="E15" s="8" t="str">
        <x:v>○</x:v>
      </x:c>
      <x:c r="F15" s="8" t="str">
        <x:v>X</x:v>
      </x:c>
      <x:c r="G15" s="8" t="str">
        <x:v>X</x:v>
      </x:c>
      <x:c r="H15" s="8" t="str">
        <x:v>X</x:v>
      </x:c>
      <x:c r="I15" s="8" t="str">
        <x:v>개발 필요</x:v>
      </x:c>
      <x:c r="J15" s="7" t="str">
        <x:v>Input 170~199 Rev 표 자리만 존재</x:v>
      </x:c>
      <x:c r="K15" s="8" t="str">
        <x:v>앱 개발</x:v>
      </x:c>
      <x:c r="L15" s="8" t="str">
        <x:v>O</x:v>
      </x:c>
      <x:c r="M15" s="8" t="str">
        <x:v>X</x:v>
      </x:c>
      <x:c r="N15" s="43" t="n">
        <x:v>46213</x:v>
      </x:c>
      <x:c r="O15" s="43"/>
      <x:c r="P15" s="43" t="n">
        <x:v>46225</x:v>
      </x:c>
      <x:c r="Q15" s="7" t="str">
        <x:v>Revision 번호/일자/작성자/변경내용 규칙 필요</x:v>
      </x:c>
      <x:c r="R15"/>
    </x:row>
    <x:row r="16" ht="42" customHeight="1">
      <x:c r="A16" s="8" t="n">
        <x:v>43</x:v>
      </x:c>
      <x:c r="B16" s="8" t="str">
        <x:v>제작·조립·설치</x:v>
      </x:c>
      <x:c r="C16" s="8" t="str">
        <x:v>표제부</x:v>
      </x:c>
      <x:c r="D16" s="7" t="str">
        <x:v>DP No</x:v>
      </x:c>
      <x:c r="E16" s="8" t="str">
        <x:v>○</x:v>
      </x:c>
      <x:c r="F16" s="8" t="str">
        <x:v>X</x:v>
      </x:c>
      <x:c r="G16" s="8" t="str">
        <x:v>X</x:v>
      </x:c>
      <x:c r="H16" s="8" t="str">
        <x:v>X</x:v>
      </x:c>
      <x:c r="I16" s="8" t="str">
        <x:v>개발 필요</x:v>
      </x:c>
      <x:c r="J16" s="7" t="str">
        <x:v>현재 Test 하드코딩 → Input 168</x:v>
      </x:c>
      <x:c r="K16" s="8" t="str">
        <x:v>UDA/데이터 연결</x:v>
      </x:c>
      <x:c r="L16" s="8" t="str">
        <x:v>O</x:v>
      </x:c>
      <x:c r="M16" s="8" t="str">
        <x:v>O</x:v>
      </x:c>
      <x:c r="N16" s="43" t="n">
        <x:v>46224</x:v>
      </x:c>
      <x:c r="O16" s="43"/>
      <x:c r="P16" s="43" t="n">
        <x:v>46225</x:v>
      </x:c>
      <x:c r="Q16" s="7" t="str">
        <x:v>Test 값 출력은 확인했지만 정식 생산 데이터 연결은 미완료</x:v>
      </x:c>
      <x:c r="R16"/>
    </x:row>
    <x:row r="17" ht="42" customHeight="1">
      <x:c r="A17" s="8" t="n">
        <x:v>73</x:v>
      </x:c>
      <x:c r="B17" s="8" t="str">
        <x:v>공통</x:v>
      </x:c>
      <x:c r="C17" s="8" t="str">
        <x:v>화면 디자인</x:v>
      </x:c>
      <x:c r="D17" s="7" t="str">
        <x:v>왼쪽 탭·테이블 디자인 개선</x:v>
      </x:c>
      <x:c r="E17" s="8" t="str">
        <x:v>X</x:v>
      </x:c>
      <x:c r="F17" s="8" t="str">
        <x:v>○</x:v>
      </x:c>
      <x:c r="G17" s="8" t="str">
        <x:v>X</x:v>
      </x:c>
      <x:c r="H17" s="8" t="str">
        <x:v>해당없음</x:v>
      </x:c>
      <x:c r="I17" s="8" t="str">
        <x:v>개발 대기</x:v>
      </x:c>
      <x:c r="J17" s="7" t="str">
        <x:v>현재 기능 중심 UI로 탭 구분·선택 상태·테이블 가독성 개선 필요</x:v>
      </x:c>
      <x:c r="K17" s="8" t="str">
        <x:v>앱 개발</x:v>
      </x:c>
      <x:c r="L17" s="8" t="str">
        <x:v>O</x:v>
      </x:c>
      <x:c r="M17" s="8" t="str">
        <x:v>X</x:v>
      </x:c>
      <x:c r="N17" s="43"/>
      <x:c r="O17" s="43"/>
      <x:c r="P17" s="43" t="n">
        <x:v>46225</x:v>
      </x:c>
      <x:c r="Q17" s="7" t="str">
        <x:v>탭 크기·간격·색상과 테이블 헤더·행 높이·정렬·테두리 디자인 개선</x:v>
      </x:c>
      <x:c r="R17"/>
    </x:row>
    <x:row r="18" ht="42" customHeight="1">
      <x:c r="A18" s="8" t="n">
        <x:v>14</x:v>
      </x:c>
      <x:c r="B18" s="8" t="str">
        <x:v>공통</x:v>
      </x:c>
      <x:c r="C18" s="8" t="str">
        <x:v>뷰</x:v>
      </x:c>
      <x:c r="D18" s="7" t="str">
        <x:v>2D Drawing 선·홀·모서리 미표시</x:v>
      </x:c>
      <x:c r="E18" s="8" t="str">
        <x:v>○</x:v>
      </x:c>
      <x:c r="F18" s="8" t="str">
        <x:v>X</x:v>
      </x:c>
      <x:c r="G18" s="8" t="str">
        <x:v>△</x:v>
      </x:c>
      <x:c r="H18" s="8" t="str">
        <x:v>X</x:v>
      </x:c>
      <x:c r="I18" s="8" t="str">
        <x:v>API 대기</x:v>
      </x:c>
      <x:c r="J18" s="7" t="str">
        <x:v>GenerateEdgeData + Hidden Line 캡처</x:v>
      </x:c>
      <x:c r="K18" s="8" t="str">
        <x:v>API 수정</x:v>
      </x:c>
      <x:c r="L18" s="8" t="str">
        <x:v>O</x:v>
      </x:c>
      <x:c r="M18" s="8" t="str">
        <x:v>X</x:v>
      </x:c>
      <x:c r="N18" s="43" t="n">
        <x:v>46160</x:v>
      </x:c>
      <x:c r="O18" s="43"/>
      <x:c r="P18" s="43" t="n">
        <x:v>46224</x:v>
      </x:c>
      <x:c r="Q18" s="7" t="str">
        <x:v>일부 부재의 선·홀 누락 재발. 2026-07-23 API 배포분으로 재검증 예정</x:v>
      </x:c>
      <x:c r="R18"/>
    </x:row>
    <x:row r="19" ht="42" customHeight="1">
      <x:c r="A19" s="8" t="n">
        <x:v>62</x:v>
      </x:c>
      <x:c r="B19" s="8" t="str">
        <x:v>가공도</x:v>
      </x:c>
      <x:c r="C19" s="8" t="str">
        <x:v>레이아웃·표현</x:v>
      </x:c>
      <x:c r="D19" s="7" t="str">
        <x:v>가공도 EA 부재 출력 크기·실선/은선·치수 풍선 위치</x:v>
      </x:c>
      <x:c r="E19" s="8" t="str">
        <x:v>○</x:v>
      </x:c>
      <x:c r="F19" s="8" t="str">
        <x:v>X</x:v>
      </x:c>
      <x:c r="G19" s="8" t="str">
        <x:v>△</x:v>
      </x:c>
      <x:c r="H19" s="8" t="str">
        <x:v>X</x:v>
      </x:c>
      <x:c r="I19" s="8" t="str">
        <x:v>API 대기</x:v>
      </x:c>
      <x:c r="J19" s="7" t="str">
        <x:v>EA 두 뷰 축척 정합, 실선/은선 누락, 치수 풍선 근접 배치</x:v>
      </x:c>
      <x:c r="K19" s="8" t="str">
        <x:v>API 보강</x:v>
      </x:c>
      <x:c r="L19" s="8" t="str">
        <x:v>O</x:v>
      </x:c>
      <x:c r="M19" s="8" t="str">
        <x:v>O</x:v>
      </x:c>
      <x:c r="N19" s="43" t="n">
        <x:v>46224</x:v>
      </x:c>
      <x:c r="O19" s="43"/>
      <x:c r="P19" s="43" t="n">
        <x:v>46225</x:v>
      </x:c>
      <x:c r="Q19" s="7" t="str">
        <x:v>EA 부재의 두 뷰 크기와 선 표현을 맞추고, 치수 풍선을 측정 대상 가까운 영역에 배치하기 위한 항목</x:v>
      </x:c>
      <x:c r="R19"/>
    </x:row>
    <x:row r="20" ht="42" customHeight="1">
      <x:c r="A20" s="8" t="n">
        <x:v>64</x:v>
      </x:c>
      <x:c r="B20" s="8" t="str">
        <x:v>가공도</x:v>
      </x:c>
      <x:c r="C20" s="8" t="str">
        <x:v>뷰</x:v>
      </x:c>
      <x:c r="D20" s="7" t="str">
        <x:v>단면 위주 출력·은선 정책</x:v>
      </x:c>
      <x:c r="E20" s="8" t="str">
        <x:v>○</x:v>
      </x:c>
      <x:c r="F20" s="8" t="str">
        <x:v>X</x:v>
      </x:c>
      <x:c r="G20" s="8" t="str">
        <x:v>△</x:v>
      </x:c>
      <x:c r="H20" s="8" t="str">
        <x:v>X</x:v>
      </x:c>
      <x:c r="I20" s="8" t="str">
        <x:v>API 대기</x:v>
      </x:c>
      <x:c r="J20" s="7" t="str">
        <x:v>현재 DASH_LINE + 은선 캡처 임시 조합</x:v>
      </x:c>
      <x:c r="K20" s="8" t="str">
        <x:v>API/수정</x:v>
      </x:c>
      <x:c r="L20" s="8" t="str">
        <x:v>O</x:v>
      </x:c>
      <x:c r="M20" s="8" t="str">
        <x:v>X</x:v>
      </x:c>
      <x:c r="N20" s="43" t="n">
        <x:v>46206</x:v>
      </x:c>
      <x:c r="O20" s="43"/>
      <x:c r="P20" s="43" t="n">
        <x:v>46224</x:v>
      </x:c>
      <x:c r="Q20" s="7" t="str">
        <x:v>가공도 크래시 우회 상태라 최종 회사 사양 재검증 필요</x:v>
      </x:c>
      <x:c r="R20"/>
    </x:row>
    <x:row r="21" ht="42" customHeight="1">
      <x:c r="A21" s="8" t="n">
        <x:v>6</x:v>
      </x:c>
      <x:c r="B21" s="8" t="str">
        <x:v>공통</x:v>
      </x:c>
      <x:c r="C21" s="8" t="str">
        <x:v>출력 흐름</x:v>
      </x:c>
      <x:c r="D21" s="7" t="str">
        <x:v>STRU 단위 4종 도면 일괄 출력</x:v>
      </x:c>
      <x:c r="E21" s="8" t="str">
        <x:v>○</x:v>
      </x:c>
      <x:c r="F21" s="8" t="str">
        <x:v>X</x:v>
      </x:c>
      <x:c r="G21" s="8" t="str">
        <x:v>△</x:v>
      </x:c>
      <x:c r="H21" s="8" t="str">
        <x:v>X</x:v>
      </x:c>
      <x:c r="I21" s="8" t="str">
        <x:v>부분 구현</x:v>
      </x:c>
      <x:c r="J21" s="7" t="str">
        <x:v>제작·조립·설치는 경로 존재, 가공도 제외</x:v>
      </x:c>
      <x:c r="K21" s="8" t="str">
        <x:v>앱 개발</x:v>
      </x:c>
      <x:c r="L21" s="8" t="str">
        <x:v>X</x:v>
      </x:c>
      <x:c r="M21" s="8" t="str">
        <x:v>O</x:v>
      </x:c>
      <x:c r="N21" s="43" t="n">
        <x:v>46155</x:v>
      </x:c>
      <x:c r="O21" s="43"/>
      <x:c r="P21" s="43" t="n">
        <x:v>46225</x:v>
      </x:c>
      <x:c r="Q21" s="7" t="str">
        <x:v>4종 완결 기준으로는 미완료</x:v>
      </x:c>
      <x:c r="R21"/>
    </x:row>
    <x:row r="22" ht="42" customHeight="1">
      <x:c r="A22" s="8" t="n">
        <x:v>72</x:v>
      </x:c>
      <x:c r="B22" s="8" t="str">
        <x:v>공통</x:v>
      </x:c>
      <x:c r="C22" s="8" t="str">
        <x:v>출력 UX</x:v>
      </x:c>
      <x:c r="D22" s="7" t="str">
        <x:v>2D 출력 미선택 시 전체 제작도 자동 선택</x:v>
      </x:c>
      <x:c r="E22" s="8" t="str">
        <x:v>X</x:v>
      </x:c>
      <x:c r="F22" s="8" t="str">
        <x:v>○</x:v>
      </x:c>
      <x:c r="G22" s="8" t="str">
        <x:v>O</x:v>
      </x:c>
      <x:c r="H22" s="8" t="str">
        <x:v>O</x:v>
      </x:c>
      <x:c r="I22" s="8" t="str">
        <x:v>완료</x:v>
      </x:c>
      <x:c r="J22" s="7" t="str">
        <x:v>BaseMemberIndex=-1 전체 제작도, 없으면 BOM 전체 임시 시트</x:v>
      </x:c>
      <x:c r="K22" s="8" t="str">
        <x:v>없음</x:v>
      </x:c>
      <x:c r="L22" s="8" t="str">
        <x:v>X</x:v>
      </x:c>
      <x:c r="M22" s="8" t="str">
        <x:v>X</x:v>
      </x:c>
      <x:c r="N22" s="43" t="n">
        <x:v>46225</x:v>
      </x:c>
      <x:c r="O22" s="43" t="n">
        <x:v>46225</x:v>
      </x:c>
      <x:c r="P22" s="43" t="n">
        <x:v>46225</x:v>
      </x:c>
      <x:c r="Q22" s="7" t="str">
        <x:v>시트 미선택 상태에서 전체 제작도를 기본 대상으로 출력하도록 구현·실기 확인 완료</x:v>
      </x:c>
      <x:c r="R22"/>
    </x:row>
    <x:row r="23" ht="42" customHeight="1">
      <x:c r="A23" s="8" t="n">
        <x:v>21</x:v>
      </x:c>
      <x:c r="B23" s="8" t="str">
        <x:v>가공도</x:v>
      </x:c>
      <x:c r="C23" s="8" t="str">
        <x:v>뷰</x:v>
      </x:c>
      <x:c r="D23" s="7" t="str">
        <x:v>모델 축 틀어짐 현상</x:v>
      </x:c>
      <x:c r="E23" s="8" t="str">
        <x:v>○</x:v>
      </x:c>
      <x:c r="F23" s="8" t="str">
        <x:v>X</x:v>
      </x:c>
      <x:c r="G23" s="8" t="str">
        <x:v>△</x:v>
      </x:c>
      <x:c r="H23" s="8" t="str">
        <x:v>X</x:v>
      </x:c>
      <x:c r="I23" s="8" t="str">
        <x:v>개발 대기</x:v>
      </x:c>
      <x:c r="J23" s="7" t="str">
        <x:v>ORIENTATION UDA 보정과 주축 진단 로그는 구현, ReferenceAxis 정렬은 미구현</x:v>
      </x:c>
      <x:c r="K23" s="8" t="str">
        <x:v>앱 개발</x:v>
      </x:c>
      <x:c r="L23" s="8" t="str">
        <x:v>O</x:v>
      </x:c>
      <x:c r="M23" s="8" t="str">
        <x:v>O</x:v>
      </x:c>
      <x:c r="N23" s="43" t="n">
        <x:v>46135</x:v>
      </x:c>
      <x:c r="O23" s="43"/>
      <x:c r="P23" s="43" t="n">
        <x:v>46225</x:v>
      </x:c>
      <x:c r="Q23" s="7" t="str">
        <x:v>기울어진 단일 가공도부터 ReferenceAxis 정렬 구현 대기</x:v>
      </x:c>
      <x:c r="R23"/>
    </x:row>
    <x:row r="24" ht="42" customHeight="1">
      <x:c r="A24" s="8" t="n">
        <x:v>26</x:v>
      </x:c>
      <x:c r="B24" s="8" t="str">
        <x:v>제작·조립·설치·가공</x:v>
      </x:c>
      <x:c r="C24" s="8" t="str">
        <x:v>BOM</x:v>
      </x:c>
      <x:c r="D24" s="7" t="str">
        <x:v>SIZE</x:v>
      </x:c>
      <x:c r="E24" s="8" t="str">
        <x:v>○</x:v>
      </x:c>
      <x:c r="F24" s="8" t="str">
        <x:v>X</x:v>
      </x:c>
      <x:c r="G24" s="8" t="str">
        <x:v>△</x:v>
      </x:c>
      <x:c r="H24" s="8" t="str">
        <x:v>대기</x:v>
      </x:c>
      <x:c r="I24" s="8" t="str">
        <x:v>부분 구현</x:v>
      </x:c>
      <x:c r="J24" s="7" t="str">
        <x:v>SPREF 나머지 + POSSTART/POSEND 3D 거리</x:v>
      </x:c>
      <x:c r="K24" s="8" t="str">
        <x:v>UDA/규칙 확정</x:v>
      </x:c>
      <x:c r="L24" s="8" t="str">
        <x:v>O</x:v>
      </x:c>
      <x:c r="M24" s="8" t="str">
        <x:v>X</x:v>
      </x:c>
      <x:c r="N24" s="43" t="n">
        <x:v>46155</x:v>
      </x:c>
      <x:c r="O24" s="43"/>
      <x:c r="P24" s="43" t="n">
        <x:v>46155</x:v>
      </x:c>
      <x:c r="Q24" s="7" t="str">
        <x:v>현재 숫자 토큰 순서 가정; 생산 형식 검증 필요</x:v>
      </x:c>
      <x:c r="R24"/>
    </x:row>
    <x:row r="25" ht="42" customHeight="1">
      <x:c r="A25" s="8" t="n">
        <x:v>40</x:v>
      </x:c>
      <x:c r="B25" s="8" t="str">
        <x:v>제작·조립·설치·가공</x:v>
      </x:c>
      <x:c r="C25" s="8" t="str">
        <x:v>표제부</x:v>
      </x:c>
      <x:c r="D25" s="7" t="str">
        <x:v>프로젝트명</x:v>
      </x:c>
      <x:c r="E25" s="8" t="str">
        <x:v>○</x:v>
      </x:c>
      <x:c r="F25" s="8" t="str">
        <x:v>X</x:v>
      </x:c>
      <x:c r="G25" s="8" t="str">
        <x:v>△</x:v>
      </x:c>
      <x:c r="H25" s="8" t="str">
        <x:v>X</x:v>
      </x:c>
      <x:c r="I25" s="8" t="str">
        <x:v>부분 구현</x:v>
      </x:c>
      <x:c r="J25" s="7" t="str">
        <x:v>현재 CEDAR FLNG 하드코딩</x:v>
      </x:c>
      <x:c r="K25" s="8" t="str">
        <x:v>데이터 연결</x:v>
      </x:c>
      <x:c r="L25" s="8" t="str">
        <x:v>O</x:v>
      </x:c>
      <x:c r="M25" s="8" t="str">
        <x:v>X</x:v>
      </x:c>
      <x:c r="N25" s="43" t="n">
        <x:v>46156</x:v>
      </x:c>
      <x:c r="O25" s="43"/>
      <x:c r="P25" s="43" t="n">
        <x:v>46225</x:v>
      </x:c>
      <x:c r="Q25" s="7" t="str">
        <x:v>프로젝트 메타 또는 UDA 연결 필요</x:v>
      </x:c>
      <x:c r="R25"/>
    </x:row>
    <x:row r="26" ht="42" customHeight="1">
      <x:c r="A26" s="8" t="n">
        <x:v>41</x:v>
      </x:c>
      <x:c r="B26" s="8" t="str">
        <x:v>제작·조립·설치·가공</x:v>
      </x:c>
      <x:c r="C26" s="8" t="str">
        <x:v>표제부</x:v>
      </x:c>
      <x:c r="D26" s="7" t="str">
        <x:v>선박번호 / Project No</x:v>
      </x:c>
      <x:c r="E26" s="8" t="str">
        <x:v>○</x:v>
      </x:c>
      <x:c r="F26" s="8" t="str">
        <x:v>X</x:v>
      </x:c>
      <x:c r="G26" s="8" t="str">
        <x:v>△</x:v>
      </x:c>
      <x:c r="H26" s="8" t="str">
        <x:v>X</x:v>
      </x:c>
      <x:c r="I26" s="8" t="str">
        <x:v>부분 구현</x:v>
      </x:c>
      <x:c r="J26" s="7" t="str">
        <x:v>현재 SN2688 하드코딩</x:v>
      </x:c>
      <x:c r="K26" s="8" t="str">
        <x:v>데이터 연결</x:v>
      </x:c>
      <x:c r="L26" s="8" t="str">
        <x:v>O</x:v>
      </x:c>
      <x:c r="M26" s="8" t="str">
        <x:v>X</x:v>
      </x:c>
      <x:c r="N26" s="43" t="n">
        <x:v>46156</x:v>
      </x:c>
      <x:c r="O26" s="43"/>
      <x:c r="P26" s="43" t="n">
        <x:v>46225</x:v>
      </x:c>
      <x:c r="Q26" s="7" t="str">
        <x:v>정식 필드명과 데이터 소스 확정 필요</x:v>
      </x:c>
      <x:c r="R26"/>
    </x:row>
    <x:row r="27" ht="42" customHeight="1">
      <x:c r="A27" s="8" t="n">
        <x:v>20</x:v>
      </x:c>
      <x:c r="B27" s="8" t="str">
        <x:v>제작·조립·설치</x:v>
      </x:c>
      <x:c r="C27" s="8" t="str">
        <x:v>ISO 풍선 API</x:v>
      </x:c>
      <x:c r="D27" s="7" t="str">
        <x:v>ISO 풍선 배치 영역 고정 API</x:v>
      </x:c>
      <x:c r="E27" s="8" t="str">
        <x:v>X</x:v>
      </x:c>
      <x:c r="F27" s="8" t="str">
        <x:v>○</x:v>
      </x:c>
      <x:c r="G27" s="8" t="str">
        <x:v>△</x:v>
      </x:c>
      <x:c r="H27" s="8" t="str">
        <x:v>X</x:v>
      </x:c>
      <x:c r="I27" s="8" t="str">
        <x:v>API 대기</x:v>
      </x:c>
      <x:c r="J27" s="7" t="str">
        <x:v>현재 3D 오프셋 + 2D AABB 충돌 회피만 있고 배치 영역 지정 API는 없음</x:v>
      </x:c>
      <x:c r="K27" s="8" t="str">
        <x:v>API 보강</x:v>
      </x:c>
      <x:c r="L27" s="8" t="str">
        <x:v>O</x:v>
      </x:c>
      <x:c r="M27" s="8" t="str">
        <x:v>X</x:v>
      </x:c>
      <x:c r="N27" s="43" t="n">
        <x:v>46154</x:v>
      </x:c>
      <x:c r="O27" s="43"/>
      <x:c r="P27" s="43" t="n">
        <x:v>46225</x:v>
      </x:c>
      <x:c r="Q27" s="7" t="str">
        <x:v>풍선을 지정 영역 안에 고정하면서 측정 대상 가까이 배치할 수 있는 API 필요</x:v>
      </x:c>
      <x:c r="R27"/>
    </x:row>
    <x:row r="28" ht="42" customHeight="1">
      <x:c r="A28" s="8" t="n">
        <x:v>42</x:v>
      </x:c>
      <x:c r="B28" s="8" t="str">
        <x:v>제작·조립·설치</x:v>
      </x:c>
      <x:c r="C28" s="8" t="str">
        <x:v>표제부</x:v>
      </x:c>
      <x:c r="D28" s="7" t="str">
        <x:v>Tag No</x:v>
      </x:c>
      <x:c r="E28" s="8" t="str">
        <x:v>○</x:v>
      </x:c>
      <x:c r="F28" s="8" t="str">
        <x:v>X</x:v>
      </x:c>
      <x:c r="G28" s="8" t="str">
        <x:v>△</x:v>
      </x:c>
      <x:c r="H28" s="8" t="str">
        <x:v>대기</x:v>
      </x:c>
      <x:c r="I28" s="8" t="str">
        <x:v>부분 구현</x:v>
      </x:c>
      <x:c r="J28" s="7" t="str">
        <x:v>조상 UDA STRU → Input 169</x:v>
      </x:c>
      <x:c r="K28" s="8" t="str">
        <x:v>앱 보강</x:v>
      </x:c>
      <x:c r="L28" s="8" t="str">
        <x:v>O</x:v>
      </x:c>
      <x:c r="M28" s="8" t="str">
        <x:v>O</x:v>
      </x:c>
      <x:c r="N28" s="43" t="n">
        <x:v>46224</x:v>
      </x:c>
      <x:c r="O28" s="43" t="n">
        <x:v>46225</x:v>
      </x:c>
      <x:c r="P28" s="43" t="n">
        <x:v>46225</x:v>
      </x:c>
      <x:c r="Q28" s="7" t="str">
        <x:v>테스트 케이스 실기 완료; 음수 BaseMemberIndex 시 공백 가능</x:v>
      </x:c>
      <x:c r="R28"/>
    </x:row>
    <x:row r="29" ht="42" customHeight="1">
      <x:c r="A29" s="8" t="n">
        <x:v>52</x:v>
      </x:c>
      <x:c r="B29" s="8" t="str">
        <x:v>제작·조립·설치</x:v>
      </x:c>
      <x:c r="C29" s="8" t="str">
        <x:v>치수</x:v>
      </x:c>
      <x:c r="D29" s="7" t="str">
        <x:v>부재 접합 각도 표시</x:v>
      </x:c>
      <x:c r="E29" s="8" t="str">
        <x:v>○</x:v>
      </x:c>
      <x:c r="F29" s="8" t="str">
        <x:v>X</x:v>
      </x:c>
      <x:c r="G29" s="8" t="str">
        <x:v>△</x:v>
      </x:c>
      <x:c r="H29" s="8" t="str">
        <x:v>대기</x:v>
      </x:c>
      <x:c r="I29" s="8" t="str">
        <x:v>부분 구현</x:v>
      </x:c>
      <x:c r="J29" s="7" t="str">
        <x:v>Clash/Osnap 기반 MarkNonRightAngles</x:v>
      </x:c>
      <x:c r="K29" s="8" t="str">
        <x:v>API/보강</x:v>
      </x:c>
      <x:c r="L29" s="8" t="str">
        <x:v>O</x:v>
      </x:c>
      <x:c r="M29" s="8" t="str">
        <x:v>O</x:v>
      </x:c>
      <x:c r="N29" s="43" t="n">
        <x:v>46196</x:v>
      </x:c>
      <x:c r="O29" s="43"/>
      <x:c r="P29" s="43" t="n">
        <x:v>46224</x:v>
      </x:c>
      <x:c r="Q29" s="7" t="str">
        <x:v>자체 구현은 있으나 실기 불명, API 8월 항목</x:v>
      </x:c>
      <x:c r="R29"/>
    </x:row>
    <x:row r="30" ht="42" customHeight="1">
      <x:c r="A30" s="8" t="n">
        <x:v>59</x:v>
      </x:c>
      <x:c r="B30" s="8" t="str">
        <x:v>가공도</x:v>
      </x:c>
      <x:c r="C30" s="8" t="str">
        <x:v>형상 정보</x:v>
      </x:c>
      <x:c r="D30" s="7" t="str">
        <x:v>SlotHole 정보·풍선</x:v>
      </x:c>
      <x:c r="E30" s="8" t="str">
        <x:v>○</x:v>
      </x:c>
      <x:c r="F30" s="8" t="str">
        <x:v>X</x:v>
      </x:c>
      <x:c r="G30" s="8" t="str">
        <x:v>△</x:v>
      </x:c>
      <x:c r="H30" s="8" t="str">
        <x:v>대기</x:v>
      </x:c>
      <x:c r="I30" s="8" t="str">
        <x:v>부분 구현</x:v>
      </x:c>
      <x:c r="J30" s="7" t="str">
        <x:v>GetNodeHoleInfo + 길이/폭 계산, 깊이 0</x:v>
      </x:c>
      <x:c r="K30" s="8" t="str">
        <x:v>앱 보강</x:v>
      </x:c>
      <x:c r="L30" s="8" t="str">
        <x:v>O</x:v>
      </x:c>
      <x:c r="M30" s="8" t="str">
        <x:v>X</x:v>
      </x:c>
      <x:c r="N30" s="43" t="n">
        <x:v>46195</x:v>
      </x:c>
      <x:c r="O30" s="43"/>
      <x:c r="P30" s="43" t="n">
        <x:v>46225</x:v>
      </x:c>
      <x:c r="Q30" s="7" t="str">
        <x:v>깊이 데이터와 표현 규칙 보강 필요</x:v>
      </x:c>
      <x:c r="R30"/>
    </x:row>
    <x:row r="31" ht="42" customHeight="1">
      <x:c r="A31" s="8" t="n">
        <x:v>67</x:v>
      </x:c>
      <x:c r="B31" s="8" t="str">
        <x:v>공통</x:v>
      </x:c>
      <x:c r="C31" s="8" t="str">
        <x:v>최종 산출물</x:v>
      </x:c>
      <x:c r="D31" s="7" t="str">
        <x:v>제작도·가공도·설치도 최종 생산 출력</x:v>
      </x:c>
      <x:c r="E31" s="8" t="str">
        <x:v>○</x:v>
      </x:c>
      <x:c r="F31" s="8" t="str">
        <x:v>X</x:v>
      </x:c>
      <x:c r="G31" s="8" t="str">
        <x:v>△</x:v>
      </x:c>
      <x:c r="H31" s="8" t="str">
        <x:v>X</x:v>
      </x:c>
      <x:c r="I31" s="8" t="str">
        <x:v>부분 구현</x:v>
      </x:c>
      <x:c r="J31" s="7" t="str">
        <x:v>도면별 개별 경로는 있으나 가공도 차단</x:v>
      </x:c>
      <x:c r="K31" s="8" t="str">
        <x:v>앱/API 보강</x:v>
      </x:c>
      <x:c r="L31" s="8" t="str">
        <x:v>O</x:v>
      </x:c>
      <x:c r="M31" s="8" t="str">
        <x:v>O</x:v>
      </x:c>
      <x:c r="N31" s="43" t="n">
        <x:v>46155</x:v>
      </x:c>
      <x:c r="O31" s="43"/>
      <x:c r="P31" s="43" t="n">
        <x:v>46225</x:v>
      </x:c>
      <x:c r="Q31" s="7" t="str">
        <x:v>과제 완료 기준: 3종 최종 PDF와 설명 장표</x:v>
      </x:c>
      <x:c r="R31"/>
    </x:row>
    <x:row r="32" ht="42" customHeight="1">
      <x:c r="A32" s="8" t="n">
        <x:v>9</x:v>
      </x:c>
      <x:c r="B32" s="8" t="str">
        <x:v>제작·조립·설치</x:v>
      </x:c>
      <x:c r="C32" s="8" t="str">
        <x:v>뷰</x:v>
      </x:c>
      <x:c r="D32" s="7" t="str">
        <x:v>ISO3 뷰 사양 일치</x:v>
      </x:c>
      <x:c r="E32" s="8" t="str">
        <x:v>○</x:v>
      </x:c>
      <x:c r="F32" s="8" t="str">
        <x:v>X</x:v>
      </x:c>
      <x:c r="G32" s="8" t="str">
        <x:v>O</x:v>
      </x:c>
      <x:c r="H32" s="8" t="str">
        <x:v>O</x:v>
      </x:c>
      <x:c r="I32" s="8" t="str">
        <x:v>완료</x:v>
      </x:c>
      <x:c r="J32" s="7" t="str">
        <x:v>CameraDirection.ISO_PLUS (ISO3 확정)</x:v>
      </x:c>
      <x:c r="K32" s="8" t="str">
        <x:v>없음</x:v>
      </x:c>
      <x:c r="L32" s="8" t="str">
        <x:v>X</x:v>
      </x:c>
      <x:c r="M32" s="8" t="str">
        <x:v>X</x:v>
      </x:c>
      <x:c r="N32" s="43" t="n">
        <x:v>46156</x:v>
      </x:c>
      <x:c r="O32" s="43" t="n">
        <x:v>46225</x:v>
      </x:c>
      <x:c r="P32" s="43" t="n">
        <x:v>46225</x:v>
      </x:c>
      <x:c r="Q32" s="7" t="str">
        <x:v>ISO3는 ISO_PLUS 뷰로 사양 확정</x:v>
      </x:c>
      <x:c r="R32"/>
    </x:row>
    <x:row r="33" ht="42" customHeight="1">
      <x:c r="A33" s="8" t="n">
        <x:v>38</x:v>
      </x:c>
      <x:c r="B33" s="8" t="str">
        <x:v>제작·조립·설치·가공</x:v>
      </x:c>
      <x:c r="C33" s="8" t="str">
        <x:v>표제부</x:v>
      </x:c>
      <x:c r="D33" s="7" t="str">
        <x:v>긴 Note 처리 정책</x:v>
      </x:c>
      <x:c r="E33" s="8" t="str">
        <x:v>○</x:v>
      </x:c>
      <x:c r="F33" s="8" t="str">
        <x:v>X</x:v>
      </x:c>
      <x:c r="G33" s="8" t="str">
        <x:v>X</x:v>
      </x:c>
      <x:c r="H33" s="8" t="str">
        <x:v>X</x:v>
      </x:c>
      <x:c r="I33" s="8" t="str">
        <x:v>분석 필요</x:v>
      </x:c>
      <x:c r="J33" s="7" t="str">
        <x:v>고정 크기 Note 박스</x:v>
      </x:c>
      <x:c r="K33" s="8" t="str">
        <x:v>사양/API 확인</x:v>
      </x:c>
      <x:c r="L33" s="8" t="str">
        <x:v>O</x:v>
      </x:c>
      <x:c r="M33" s="8" t="str">
        <x:v>O</x:v>
      </x:c>
      <x:c r="N33" s="43"/>
      <x:c r="O33" s="43"/>
      <x:c r="P33" s="43" t="n">
        <x:v>46224</x:v>
      </x:c>
      <x:c r="Q33" s="7" t="str">
        <x:v>글자 제한·말줄임·폰트 축소 중 정책 결정 필요</x:v>
      </x:c>
      <x:c r="R33"/>
    </x:row>
    <x:row r="34" ht="42" customHeight="1">
      <x:c r="A34" s="8" t="n">
        <x:v>54</x:v>
      </x:c>
      <x:c r="B34" s="8" t="str">
        <x:v>가공도</x:v>
      </x:c>
      <x:c r="C34" s="8" t="str">
        <x:v>형상</x:v>
      </x:c>
      <x:c r="D34" s="7" t="str">
        <x:v>라운드 표시</x:v>
      </x:c>
      <x:c r="E34" s="8" t="str">
        <x:v>○</x:v>
      </x:c>
      <x:c r="F34" s="8" t="str">
        <x:v>X</x:v>
      </x:c>
      <x:c r="G34" s="8" t="str">
        <x:v>X</x:v>
      </x:c>
      <x:c r="H34" s="8" t="str">
        <x:v>X</x:v>
      </x:c>
      <x:c r="I34" s="8" t="str">
        <x:v>분석 필요</x:v>
      </x:c>
      <x:c r="J34" s="7" t="str">
        <x:v>사용 가능한 SDK API 미확인</x:v>
      </x:c>
      <x:c r="K34" s="8" t="str">
        <x:v>API/분석</x:v>
      </x:c>
      <x:c r="L34" s="8" t="str">
        <x:v>O</x:v>
      </x:c>
      <x:c r="M34" s="8" t="str">
        <x:v>X</x:v>
      </x:c>
      <x:c r="N34" s="43"/>
      <x:c r="O34" s="43"/>
      <x:c r="P34" s="43" t="n">
        <x:v>46224</x:v>
      </x:c>
      <x:c r="Q34" s="7" t="str">
        <x:v>라운드 판정 조건과 필터링 정의 필요</x:v>
      </x:c>
      <x:c r="R34"/>
    </x:row>
    <x:row r="35" ht="42" customHeight="1">
      <x:c r="A35" s="8" t="n">
        <x:v>55</x:v>
      </x:c>
      <x:c r="B35" s="8" t="str">
        <x:v>가공도</x:v>
      </x:c>
      <x:c r="C35" s="8" t="str">
        <x:v>형상</x:v>
      </x:c>
      <x:c r="D35" s="7" t="str">
        <x:v>모떼기(챔퍼) 표현</x:v>
      </x:c>
      <x:c r="E35" s="8" t="str">
        <x:v>○</x:v>
      </x:c>
      <x:c r="F35" s="8" t="str">
        <x:v>X</x:v>
      </x:c>
      <x:c r="G35" s="8" t="str">
        <x:v>X</x:v>
      </x:c>
      <x:c r="H35" s="8" t="str">
        <x:v>X</x:v>
      </x:c>
      <x:c r="I35" s="8" t="str">
        <x:v>분석 필요</x:v>
      </x:c>
      <x:c r="J35" s="7" t="str">
        <x:v>추출 방법 미정</x:v>
      </x:c>
      <x:c r="K35" s="8" t="str">
        <x:v>API/분석</x:v>
      </x:c>
      <x:c r="L35" s="8" t="str">
        <x:v>O</x:v>
      </x:c>
      <x:c r="M35" s="8" t="str">
        <x:v>X</x:v>
      </x:c>
      <x:c r="N35" s="43"/>
      <x:c r="O35" s="43"/>
      <x:c r="P35" s="43" t="n">
        <x:v>46224</x:v>
      </x:c>
      <x:c r="Q35" s="7" t="str">
        <x:v>형상 판정 조건 정의 필요</x:v>
      </x:c>
      <x:c r="R35"/>
    </x:row>
    <x:row r="36" ht="42" customHeight="1">
      <x:c r="A36" s="8" t="n">
        <x:v>1</x:v>
      </x:c>
      <x:c r="B36" s="8" t="str">
        <x:v>공통</x:v>
      </x:c>
      <x:c r="C36" s="8" t="str">
        <x:v>출력 흐름</x:v>
      </x:c>
      <x:c r="D36" s="7" t="str">
        <x:v>제작도 PDF 자동 출력</x:v>
      </x:c>
      <x:c r="E36" s="8" t="str">
        <x:v>○</x:v>
      </x:c>
      <x:c r="F36" s="8" t="str">
        <x:v>X</x:v>
      </x:c>
      <x:c r="G36" s="8" t="str">
        <x:v>O</x:v>
      </x:c>
      <x:c r="H36" s="8" t="str">
        <x:v>대기</x:v>
      </x:c>
      <x:c r="I36" s="8" t="str">
        <x:v>실기 검증 대기</x:v>
      </x:c>
      <x:c r="J36" s="7" t="str">
        <x:v>Excel 템플릿 + 4면도 + BOM</x:v>
      </x:c>
      <x:c r="K36" s="8" t="str">
        <x:v>없음</x:v>
      </x:c>
      <x:c r="L36" s="8" t="str">
        <x:v>X</x:v>
      </x:c>
      <x:c r="M36" s="8" t="str">
        <x:v>X</x:v>
      </x:c>
      <x:c r="N36" s="43" t="n">
        <x:v>46155</x:v>
      </x:c>
      <x:c r="O36" s="43"/>
      <x:c r="P36" s="43" t="n">
        <x:v>46225</x:v>
      </x:c>
      <x:c r="Q36" s="7" t="str">
        <x:v>코드는 구현됐으며 최종 생산 PDF 점검이 남아 있음</x:v>
      </x:c>
      <x:c r="R36"/>
    </x:row>
    <x:row r="37" ht="42" customHeight="1">
      <x:c r="A37" s="8" t="n">
        <x:v>2</x:v>
      </x:c>
      <x:c r="B37" s="8" t="str">
        <x:v>공통</x:v>
      </x:c>
      <x:c r="C37" s="8" t="str">
        <x:v>출력 흐름</x:v>
      </x:c>
      <x:c r="D37" s="7" t="str">
        <x:v>조립도 PDF 자동 출력</x:v>
      </x:c>
      <x:c r="E37" s="8" t="str">
        <x:v>○</x:v>
      </x:c>
      <x:c r="F37" s="8" t="str">
        <x:v>X</x:v>
      </x:c>
      <x:c r="G37" s="8" t="str">
        <x:v>O</x:v>
      </x:c>
      <x:c r="H37" s="8" t="str">
        <x:v>대기</x:v>
      </x:c>
      <x:c r="I37" s="8" t="str">
        <x:v>실기 검증 대기</x:v>
      </x:c>
      <x:c r="J37" s="7" t="str">
        <x:v>제작도 공통 템플릿 + 조립도 분기</x:v>
      </x:c>
      <x:c r="K37" s="8" t="str">
        <x:v>없음</x:v>
      </x:c>
      <x:c r="L37" s="8" t="str">
        <x:v>X</x:v>
      </x:c>
      <x:c r="M37" s="8" t="str">
        <x:v>O</x:v>
      </x:c>
      <x:c r="N37" s="43" t="n">
        <x:v>46155</x:v>
      </x:c>
      <x:c r="O37" s="43"/>
      <x:c r="P37" s="43" t="n">
        <x:v>46224</x:v>
      </x:c>
      <x:c r="Q37" s="7" t="str">
        <x:v>기준부재 실선·나머지 점선 표현 실기 검증 필요</x:v>
      </x:c>
      <x:c r="R37"/>
    </x:row>
    <x:row r="38" ht="42" customHeight="1">
      <x:c r="A38" s="8" t="n">
        <x:v>3</x:v>
      </x:c>
      <x:c r="B38" s="8" t="str">
        <x:v>공통</x:v>
      </x:c>
      <x:c r="C38" s="8" t="str">
        <x:v>출력 흐름</x:v>
      </x:c>
      <x:c r="D38" s="7" t="str">
        <x:v>설치도 PDF 자동 출력</x:v>
      </x:c>
      <x:c r="E38" s="8" t="str">
        <x:v>○</x:v>
      </x:c>
      <x:c r="F38" s="8" t="str">
        <x:v>X</x:v>
      </x:c>
      <x:c r="G38" s="8" t="str">
        <x:v>O</x:v>
      </x:c>
      <x:c r="H38" s="8" t="str">
        <x:v>대기</x:v>
      </x:c>
      <x:c r="I38" s="8" t="str">
        <x:v>실기 검증 대기</x:v>
      </x:c>
      <x:c r="J38" s="7" t="str">
        <x:v>선택 STRU + 외부 연결 Assembly</x:v>
      </x:c>
      <x:c r="K38" s="8" t="str">
        <x:v>없음</x:v>
      </x:c>
      <x:c r="L38" s="8" t="str">
        <x:v>X</x:v>
      </x:c>
      <x:c r="M38" s="8" t="str">
        <x:v>O</x:v>
      </x:c>
      <x:c r="N38" s="43" t="n">
        <x:v>46155</x:v>
      </x:c>
      <x:c r="O38" s="43"/>
      <x:c r="P38" s="43" t="n">
        <x:v>46224</x:v>
      </x:c>
      <x:c r="Q38" s="7" t="str">
        <x:v>접합 위치·연결 치수 코드 완료, 최종 PDF 검증 대기</x:v>
      </x:c>
      <x:c r="R38"/>
    </x:row>
    <x:row r="39" ht="42" customHeight="1">
      <x:c r="A39" s="8" t="n">
        <x:v>32</x:v>
      </x:c>
      <x:c r="B39" s="8" t="str">
        <x:v>공통</x:v>
      </x:c>
      <x:c r="C39" s="8" t="str">
        <x:v>템플릿 API</x:v>
      </x:c>
      <x:c r="D39" s="7" t="str">
        <x:v>빈 셀 테두리 삭제 시 고정 템플릿 테두리 보존</x:v>
      </x:c>
      <x:c r="E39" s="8" t="str">
        <x:v>X</x:v>
      </x:c>
      <x:c r="F39" s="8" t="str">
        <x:v>○</x:v>
      </x:c>
      <x:c r="G39" s="8" t="str">
        <x:v>△</x:v>
      </x:c>
      <x:c r="H39" s="8" t="str">
        <x:v>X</x:v>
      </x:c>
      <x:c r="I39" s="8" t="str">
        <x:v>API 대기</x:v>
      </x:c>
      <x:c r="J39" s="7" t="str">
        <x:v>RemoveEmptyTemplateBorders 사용 시 고정 템플릿 테두리까지 삭제됨</x:v>
      </x:c>
      <x:c r="K39" s="8" t="str">
        <x:v>API 수정</x:v>
      </x:c>
      <x:c r="L39" s="8" t="str">
        <x:v>O</x:v>
      </x:c>
      <x:c r="M39" s="8" t="str">
        <x:v>O</x:v>
      </x:c>
      <x:c r="N39" s="43" t="n">
        <x:v>46224</x:v>
      </x:c>
      <x:c r="O39" s="43"/>
      <x:c r="P39" s="43" t="n">
        <x:v>46225</x:v>
      </x:c>
      <x:c r="Q39" s="7" t="str">
        <x:v>빈 영역만 선택 제거하고 고정 양식 테두리를 보존하는 API. 2026-07-23 배포 예정</x:v>
      </x:c>
      <x:c r="R39"/>
    </x:row>
    <x:row r="40" ht="42" customHeight="1">
      <x:c r="A40" s="8" t="n">
        <x:v>33</x:v>
      </x:c>
      <x:c r="B40" s="8" t="str">
        <x:v>공통</x:v>
      </x:c>
      <x:c r="C40" s="8" t="str">
        <x:v>BOM 디자인</x:v>
      </x:c>
      <x:c r="D40" s="7" t="str">
        <x:v>BOM 텍스트 줄바꿈·열 너비</x:v>
      </x:c>
      <x:c r="E40" s="8" t="str">
        <x:v>X</x:v>
      </x:c>
      <x:c r="F40" s="8" t="str">
        <x:v>○</x:v>
      </x:c>
      <x:c r="G40" s="8" t="str">
        <x:v>△</x:v>
      </x:c>
      <x:c r="H40" s="8" t="str">
        <x:v>대기</x:v>
      </x:c>
      <x:c r="I40" s="8" t="str">
        <x:v>부분 구현</x:v>
      </x:c>
      <x:c r="J40" s="7" t="str">
        <x:v>고정 열 너비 + 폰트 축소</x:v>
      </x:c>
      <x:c r="K40" s="8" t="str">
        <x:v>앱/템플릿 조정</x:v>
      </x:c>
      <x:c r="L40" s="8" t="str">
        <x:v>O</x:v>
      </x:c>
      <x:c r="M40" s="8" t="str">
        <x:v>X</x:v>
      </x:c>
      <x:c r="N40" s="43" t="n">
        <x:v>46152</x:v>
      </x:c>
      <x:c r="O40" s="43"/>
      <x:c r="P40" s="43" t="n">
        <x:v>46155</x:v>
      </x:c>
      <x:c r="Q40" s="7" t="str">
        <x:v>SPREF 실제 샘플과 표준 약어 결정 필요</x:v>
      </x:c>
      <x:c r="R40"/>
    </x:row>
    <x:row r="41" ht="42" customHeight="1">
      <x:c r="A41" s="8" t="n">
        <x:v>15</x:v>
      </x:c>
      <x:c r="B41" s="8" t="str">
        <x:v>조립도</x:v>
      </x:c>
      <x:c r="C41" s="8" t="str">
        <x:v>ISO 표현</x:v>
      </x:c>
      <x:c r="D41" s="7" t="str">
        <x:v>ISO 기준부재 실선 강조</x:v>
      </x:c>
      <x:c r="E41" s="8" t="str">
        <x:v>○</x:v>
      </x:c>
      <x:c r="F41" s="8" t="str">
        <x:v>X</x:v>
      </x:c>
      <x:c r="G41" s="8" t="str">
        <x:v>O</x:v>
      </x:c>
      <x:c r="H41" s="8" t="str">
        <x:v>O</x:v>
      </x:c>
      <x:c r="I41" s="8" t="str">
        <x:v>완료</x:v>
      </x:c>
      <x:c r="J41" s="7" t="str">
        <x:v>기준부재 SOLID, 나머지 LONG_DASHED</x:v>
      </x:c>
      <x:c r="K41" s="8" t="str">
        <x:v>없음</x:v>
      </x:c>
      <x:c r="L41" s="8" t="str">
        <x:v>X</x:v>
      </x:c>
      <x:c r="M41" s="8" t="str">
        <x:v>O</x:v>
      </x:c>
      <x:c r="N41" s="43" t="n">
        <x:v>46224</x:v>
      </x:c>
      <x:c r="O41" s="43" t="n">
        <x:v>46225</x:v>
      </x:c>
      <x:c r="P41" s="43" t="n">
        <x:v>46225</x:v>
      </x:c>
      <x:c r="Q41" s="7" t="str">
        <x:v>기준부재 실선·나머지 점선과 위치 정합을 실기 확인함</x:v>
      </x:c>
      <x:c r="R41"/>
    </x:row>
    <x:row r="42" ht="42" customHeight="1">
      <x:c r="A42" s="8" t="n">
        <x:v>16</x:v>
      </x:c>
      <x:c r="B42" s="8" t="str">
        <x:v>제작도</x:v>
      </x:c>
      <x:c r="C42" s="8" t="str">
        <x:v>ISO 표현</x:v>
      </x:c>
      <x:c r="D42" s="7" t="str">
        <x:v>연결 부재 점선 CropFit</x:v>
      </x:c>
      <x:c r="E42" s="8" t="str">
        <x:v>○</x:v>
      </x:c>
      <x:c r="F42" s="8" t="str">
        <x:v>X</x:v>
      </x:c>
      <x:c r="G42" s="8" t="str">
        <x:v>O</x:v>
      </x:c>
      <x:c r="H42" s="8" t="str">
        <x:v>O</x:v>
      </x:c>
      <x:c r="I42" s="8" t="str">
        <x:v>완료</x:v>
      </x:c>
      <x:c r="J42" s="7" t="str">
        <x:v>Clash 이웃 + CropFit2DViewObjectByNodeIDs</x:v>
      </x:c>
      <x:c r="K42" s="8" t="str">
        <x:v>없음</x:v>
      </x:c>
      <x:c r="L42" s="8" t="str">
        <x:v>X</x:v>
      </x:c>
      <x:c r="M42" s="8" t="str">
        <x:v>O</x:v>
      </x:c>
      <x:c r="N42" s="43" t="n">
        <x:v>46224</x:v>
      </x:c>
      <x:c r="O42" s="43" t="n">
        <x:v>46225</x:v>
      </x:c>
      <x:c r="P42" s="43" t="n">
        <x:v>46225</x:v>
      </x:c>
      <x:c r="Q42" s="7" t="str">
        <x:v>연결 부재 점선·Crop 범위·위치 정합을 실기 확인함</x:v>
      </x:c>
      <x:c r="R42"/>
    </x:row>
    <x:row r="43" ht="42" customHeight="1">
      <x:c r="A43" s="8" t="n">
        <x:v>36</x:v>
      </x:c>
      <x:c r="B43" s="8" t="str">
        <x:v>제작·조립·설치·가공</x:v>
      </x:c>
      <x:c r="C43" s="8" t="str">
        <x:v>표제부</x:v>
      </x:c>
      <x:c r="D43" s="7" t="str">
        <x:v>Grinding / Welding 공법 표시</x:v>
      </x:c>
      <x:c r="E43" s="8" t="str">
        <x:v>△</x:v>
      </x:c>
      <x:c r="F43" s="8" t="str">
        <x:v>X</x:v>
      </x:c>
      <x:c r="G43" s="8" t="str">
        <x:v>X</x:v>
      </x:c>
      <x:c r="H43" s="8" t="str">
        <x:v>X</x:v>
      </x:c>
      <x:c r="I43" s="8" t="str">
        <x:v>분석 필요</x:v>
      </x:c>
      <x:c r="J43" s="7" t="str">
        <x:v>현재 값 연결 없음</x:v>
      </x:c>
      <x:c r="K43" s="8" t="str">
        <x:v>UDA/업무 규칙</x:v>
      </x:c>
      <x:c r="L43" s="8" t="str">
        <x:v>O</x:v>
      </x:c>
      <x:c r="M43" s="8" t="str">
        <x:v>X</x:v>
      </x:c>
      <x:c r="N43" s="43"/>
      <x:c r="O43" s="43"/>
      <x:c r="P43" s="43" t="n">
        <x:v>46225</x:v>
      </x:c>
      <x:c r="Q43" s="7" t="str">
        <x:v>부재별/도면별 공법 데이터 위치 확인 필요</x:v>
      </x:c>
      <x:c r="R43"/>
    </x:row>
    <x:row r="44" ht="42" customHeight="1">
      <x:c r="A44" s="8" t="n">
        <x:v>17</x:v>
      </x:c>
      <x:c r="B44" s="8" t="str">
        <x:v>설치도</x:v>
      </x:c>
      <x:c r="C44" s="8" t="str">
        <x:v>ISO 표현</x:v>
      </x:c>
      <x:c r="D44" s="7" t="str">
        <x:v>도면 연결부재·외부 Assembly 표시</x:v>
      </x:c>
      <x:c r="E44" s="8" t="str">
        <x:v>○</x:v>
      </x:c>
      <x:c r="F44" s="8" t="str">
        <x:v>X</x:v>
      </x:c>
      <x:c r="G44" s="8" t="str">
        <x:v>O</x:v>
      </x:c>
      <x:c r="H44" s="8" t="str">
        <x:v>대기</x:v>
      </x:c>
      <x:c r="I44" s="8" t="str">
        <x:v>실기 검증 대기</x:v>
      </x:c>
      <x:c r="J44" s="7" t="str">
        <x:v>InstallationContextIndices + LONG_DASHED</x:v>
      </x:c>
      <x:c r="K44" s="8" t="str">
        <x:v>없음</x:v>
      </x:c>
      <x:c r="L44" s="8" t="str">
        <x:v>X</x:v>
      </x:c>
      <x:c r="M44" s="8" t="str">
        <x:v>O</x:v>
      </x:c>
      <x:c r="N44" s="43" t="n">
        <x:v>46224</x:v>
      </x:c>
      <x:c r="O44" s="43"/>
      <x:c r="P44" s="43" t="n">
        <x:v>46224</x:v>
      </x:c>
      <x:c r="Q44" s="7" t="str">
        <x:v>4개 뷰 코드 반영, 실기 PDF 대기</x:v>
      </x:c>
      <x:c r="R44"/>
    </x:row>
    <x:row r="45" ht="42" customHeight="1">
      <x:c r="A45" s="8" t="n">
        <x:v>18</x:v>
      </x:c>
      <x:c r="B45" s="8" t="str">
        <x:v>제작·설치</x:v>
      </x:c>
      <x:c r="C45" s="8" t="str">
        <x:v>ISO 표현</x:v>
      </x:c>
      <x:c r="D45" s="7" t="str">
        <x:v>연결부재 Assembly/Part 이름 표시</x:v>
      </x:c>
      <x:c r="E45" s="8" t="str">
        <x:v>○</x:v>
      </x:c>
      <x:c r="F45" s="8" t="str">
        <x:v>X</x:v>
      </x:c>
      <x:c r="G45" s="8" t="str">
        <x:v>O</x:v>
      </x:c>
      <x:c r="H45" s="8" t="str">
        <x:v>대기</x:v>
      </x:c>
      <x:c r="I45" s="8" t="str">
        <x:v>실기 검증 대기</x:v>
      </x:c>
      <x:c r="J45" s="7" t="str">
        <x:v>Clash HotPoint + Add2DNoteFromWorldCoordinate</x:v>
      </x:c>
      <x:c r="K45" s="8" t="str">
        <x:v>없음</x:v>
      </x:c>
      <x:c r="L45" s="8" t="str">
        <x:v>X</x:v>
      </x:c>
      <x:c r="M45" s="8" t="str">
        <x:v>O</x:v>
      </x:c>
      <x:c r="N45" s="43" t="n">
        <x:v>46224</x:v>
      </x:c>
      <x:c r="O45" s="43"/>
      <x:c r="P45" s="43" t="n">
        <x:v>46224</x:v>
      </x:c>
      <x:c r="Q45" s="7" t="str">
        <x:v>기존 엑셀의 출장 개발 표시를 유지</x:v>
      </x:c>
      <x:c r="R45"/>
    </x:row>
    <x:row r="46" ht="42" customHeight="1">
      <x:c r="A46" s="8" t="n">
        <x:v>57</x:v>
      </x:c>
      <x:c r="B46" s="8" t="str">
        <x:v>설치도</x:v>
      </x:c>
      <x:c r="C46" s="8" t="str">
        <x:v>치수</x:v>
      </x:c>
      <x:c r="D46" s="7" t="str">
        <x:v>연결부재·기준부재 접합 위치 치수</x:v>
      </x:c>
      <x:c r="E46" s="8" t="str">
        <x:v>○</x:v>
      </x:c>
      <x:c r="F46" s="8" t="str">
        <x:v>X</x:v>
      </x:c>
      <x:c r="G46" s="8" t="str">
        <x:v>O</x:v>
      </x:c>
      <x:c r="H46" s="8" t="str">
        <x:v>대기</x:v>
      </x:c>
      <x:c r="I46" s="8" t="str">
        <x:v>실기 검증 대기</x:v>
      </x:c>
      <x:c r="J46" s="7" t="str">
        <x:v>Target Body 가까운 끝단 → Connected Body 접합측 모서리 치수</x:v>
      </x:c>
      <x:c r="K46" s="8" t="str">
        <x:v>없음</x:v>
      </x:c>
      <x:c r="L46" s="8" t="str">
        <x:v>O</x:v>
      </x:c>
      <x:c r="M46" s="8" t="str">
        <x:v>O</x:v>
      </x:c>
      <x:c r="N46" s="43" t="n">
        <x:v>46224</x:v>
      </x:c>
      <x:c r="O46" s="43"/>
      <x:c r="P46" s="43" t="n">
        <x:v>46225</x:v>
      </x:c>
      <x:c r="Q46" s="7" t="str">
        <x:v>실제 접촉 Body 기준 구현 완료. 대표 STRU PDF로 끝단·모서리 치수 실기 확인 대기</x:v>
      </x:c>
      <x:c r="R46"/>
    </x:row>
    <x:row r="47" ht="42" customHeight="1">
      <x:c r="A47" s="8" t="n">
        <x:v>58</x:v>
      </x:c>
      <x:c r="B47" s="8" t="str">
        <x:v>가공도</x:v>
      </x:c>
      <x:c r="C47" s="8" t="str">
        <x:v>형상 정보</x:v>
      </x:c>
      <x:c r="D47" s="7" t="str">
        <x:v>Hole 정보·풍선</x:v>
      </x:c>
      <x:c r="E47" s="8" t="str">
        <x:v>○</x:v>
      </x:c>
      <x:c r="F47" s="8" t="str">
        <x:v>X</x:v>
      </x:c>
      <x:c r="G47" s="8" t="str">
        <x:v>O</x:v>
      </x:c>
      <x:c r="H47" s="8" t="str">
        <x:v>대기</x:v>
      </x:c>
      <x:c r="I47" s="8" t="str">
        <x:v>실기 검증 대기</x:v>
      </x:c>
      <x:c r="J47" s="7" t="str">
        <x:v>SDK GetNodeHoleInfo</x:v>
      </x:c>
      <x:c r="K47" s="8" t="str">
        <x:v>없음</x:v>
      </x:c>
      <x:c r="L47" s="8" t="str">
        <x:v>X</x:v>
      </x:c>
      <x:c r="M47" s="8" t="str">
        <x:v>X</x:v>
      </x:c>
      <x:c r="N47" s="43" t="n">
        <x:v>46195</x:v>
      </x:c>
      <x:c r="O47" s="43"/>
      <x:c r="P47" s="43" t="n">
        <x:v>46225</x:v>
      </x:c>
      <x:c r="Q47" s="7" t="str">
        <x:v>PDF 크래시 때문에 최종 생산 출력 검증 불가</x:v>
      </x:c>
      <x:c r="R47"/>
    </x:row>
    <x:row r="48" ht="42" customHeight="1">
      <x:c r="A48" s="8" t="n">
        <x:v>60</x:v>
      </x:c>
      <x:c r="B48" s="8" t="str">
        <x:v>가공도</x:v>
      </x:c>
      <x:c r="C48" s="8" t="str">
        <x:v>형상 정보</x:v>
      </x:c>
      <x:c r="D48" s="7" t="str">
        <x:v>EarthBoss 정보·풍선</x:v>
      </x:c>
      <x:c r="E48" s="8" t="str">
        <x:v>○</x:v>
      </x:c>
      <x:c r="F48" s="8" t="str">
        <x:v>X</x:v>
      </x:c>
      <x:c r="G48" s="8" t="str">
        <x:v>O</x:v>
      </x:c>
      <x:c r="H48" s="8" t="str">
        <x:v>대기</x:v>
      </x:c>
      <x:c r="I48" s="8" t="str">
        <x:v>실기 검증 대기</x:v>
      </x:c>
      <x:c r="J48" s="7" t="str">
        <x:v>UDA PURPOSE=EBOS</x:v>
      </x:c>
      <x:c r="K48" s="8" t="str">
        <x:v>없음</x:v>
      </x:c>
      <x:c r="L48" s="8" t="str">
        <x:v>X</x:v>
      </x:c>
      <x:c r="M48" s="8" t="str">
        <x:v>X</x:v>
      </x:c>
      <x:c r="N48" s="43" t="n">
        <x:v>46164</x:v>
      </x:c>
      <x:c r="O48" s="43"/>
      <x:c r="P48" s="43" t="n">
        <x:v>46225</x:v>
      </x:c>
      <x:c r="Q48" s="7" t="str">
        <x:v>PDF 크래시 해결 후 최종 확인</x:v>
      </x:c>
      <x:c r="R48"/>
    </x:row>
    <x:row r="49" ht="42" customHeight="1">
      <x:c r="A49" s="8" t="n">
        <x:v>61</x:v>
      </x:c>
      <x:c r="B49" s="8" t="str">
        <x:v>가공도</x:v>
      </x:c>
      <x:c r="C49" s="8" t="str">
        <x:v>레이아웃</x:v>
      </x:c>
      <x:c r="D49" s="7" t="str">
        <x:v>가공도 EA 상하 2뷰 배치</x:v>
      </x:c>
      <x:c r="E49" s="8" t="str">
        <x:v>○</x:v>
      </x:c>
      <x:c r="F49" s="8" t="str">
        <x:v>X</x:v>
      </x:c>
      <x:c r="G49" s="8" t="str">
        <x:v>△</x:v>
      </x:c>
      <x:c r="H49" s="8" t="str">
        <x:v>대기</x:v>
      </x:c>
      <x:c r="I49" s="8" t="str">
        <x:v>실기 검증 대기</x:v>
      </x:c>
      <x:c r="J49" s="7" t="str">
        <x:v>EA 판정=SPREF, 독립 카메라·스왑·미러</x:v>
      </x:c>
      <x:c r="K49" s="8" t="str">
        <x:v>앱/API 보강</x:v>
      </x:c>
      <x:c r="L49" s="8" t="str">
        <x:v>O</x:v>
      </x:c>
      <x:c r="M49" s="8" t="str">
        <x:v>O</x:v>
      </x:c>
      <x:c r="N49" s="43" t="n">
        <x:v>46188</x:v>
      </x:c>
      <x:c r="O49" s="43"/>
      <x:c r="P49" s="43" t="n">
        <x:v>46225</x:v>
      </x:c>
      <x:c r="Q49" s="7" t="str">
        <x:v>가로화·축척·실선/은선 실기 재확인 필요</x:v>
      </x:c>
      <x:c r="R49"/>
    </x:row>
    <x:row r="50" ht="42" customHeight="1">
      <x:c r="A50" s="8" t="n">
        <x:v>10</x:v>
      </x:c>
      <x:c r="B50" s="8" t="str">
        <x:v>제작·조립·설치</x:v>
      </x:c>
      <x:c r="C50" s="8" t="str">
        <x:v>뷰</x:v>
      </x:c>
      <x:c r="D50" s="7" t="str">
        <x:v>ISO 뷰 모델 출력</x:v>
      </x:c>
      <x:c r="E50" s="8" t="str">
        <x:v>○</x:v>
      </x:c>
      <x:c r="F50" s="8" t="str">
        <x:v>X</x:v>
      </x:c>
      <x:c r="G50" s="8" t="str">
        <x:v>O</x:v>
      </x:c>
      <x:c r="H50" s="8" t="str">
        <x:v>O</x:v>
      </x:c>
      <x:c r="I50" s="8" t="str">
        <x:v>완료</x:v>
      </x:c>
      <x:c r="J50" s="7" t="str">
        <x:v>CameraDirection.ISO_PLUS</x:v>
      </x:c>
      <x:c r="K50" s="8" t="str">
        <x:v>없음</x:v>
      </x:c>
      <x:c r="L50" s="8" t="str">
        <x:v>X</x:v>
      </x:c>
      <x:c r="M50" s="8" t="str">
        <x:v>X</x:v>
      </x:c>
      <x:c r="N50" s="43" t="n">
        <x:v>46156</x:v>
      </x:c>
      <x:c r="O50" s="43"/>
      <x:c r="P50" s="43" t="n">
        <x:v>46224</x:v>
      </x:c>
      <x:c r="Q50" s="7" t="str">
        <x:v>뷰 자체는 구현; 일부 부재 선·홀 누락은 별도 항목</x:v>
      </x:c>
      <x:c r="R50"/>
    </x:row>
    <x:row r="51" ht="42" customHeight="1">
      <x:c r="A51" s="8" t="n">
        <x:v>44</x:v>
      </x:c>
      <x:c r="B51" s="8" t="str">
        <x:v>제작·조립·설치·가공</x:v>
      </x:c>
      <x:c r="C51" s="8" t="str">
        <x:v>표제부</x:v>
      </x:c>
      <x:c r="D51" s="7" t="str">
        <x:v>도면 종류 자동 표기</x:v>
      </x:c>
      <x:c r="E51" s="8" t="str">
        <x:v>△</x:v>
      </x:c>
      <x:c r="F51" s="8" t="str">
        <x:v>X</x:v>
      </x:c>
      <x:c r="G51" s="8" t="str">
        <x:v>O</x:v>
      </x:c>
      <x:c r="H51" s="8" t="str">
        <x:v>O</x:v>
      </x:c>
      <x:c r="I51" s="8" t="str">
        <x:v>완료</x:v>
      </x:c>
      <x:c r="J51" s="7" t="str">
        <x:v>GetSheetKindLabel</x:v>
      </x:c>
      <x:c r="K51" s="8" t="str">
        <x:v>없음</x:v>
      </x:c>
      <x:c r="L51" s="8" t="str">
        <x:v>X</x:v>
      </x:c>
      <x:c r="M51" s="8" t="str">
        <x:v>X</x:v>
      </x:c>
      <x:c r="N51" s="43" t="n">
        <x:v>46155</x:v>
      </x:c>
      <x:c r="O51" s="43"/>
      <x:c r="P51" s="43" t="n">
        <x:v>46156</x:v>
      </x:c>
      <x:c r="Q51" s="7" t="str">
        <x:v>제작도·조립도·설치도·가공도 라벨</x:v>
      </x:c>
      <x:c r="R51"/>
    </x:row>
    <x:row r="52" ht="42" customHeight="1">
      <x:c r="A52" s="8" t="n">
        <x:v>45</x:v>
      </x:c>
      <x:c r="B52" s="8" t="str">
        <x:v>제작·조립·설치·가공</x:v>
      </x:c>
      <x:c r="C52" s="8" t="str">
        <x:v>이미지</x:v>
      </x:c>
      <x:c r="D52" s="7" t="str">
        <x:v>회사 로고</x:v>
      </x:c>
      <x:c r="E52" s="8" t="str">
        <x:v>X</x:v>
      </x:c>
      <x:c r="F52" s="8" t="str">
        <x:v>○</x:v>
      </x:c>
      <x:c r="G52" s="8" t="str">
        <x:v>O</x:v>
      </x:c>
      <x:c r="H52" s="8" t="str">
        <x:v>O</x:v>
      </x:c>
      <x:c r="I52" s="8" t="str">
        <x:v>완료</x:v>
      </x:c>
      <x:c r="J52" s="7" t="str">
        <x:v>{Image_3} + Logo.png</x:v>
      </x:c>
      <x:c r="K52" s="8" t="str">
        <x:v>없음</x:v>
      </x:c>
      <x:c r="L52" s="8" t="str">
        <x:v>X</x:v>
      </x:c>
      <x:c r="M52" s="8" t="str">
        <x:v>O</x:v>
      </x:c>
      <x:c r="N52" s="43" t="n">
        <x:v>46224</x:v>
      </x:c>
      <x:c r="O52" s="43" t="n">
        <x:v>46224</x:v>
      </x:c>
      <x:c r="P52" s="43" t="n">
        <x:v>46224</x:v>
      </x:c>
      <x:c r="Q52" s="7" t="str">
        <x:v>현재 정적 파일 방식</x:v>
      </x:c>
      <x:c r="R52"/>
    </x:row>
    <x:row r="53" ht="42" customHeight="1">
      <x:c r="A53" s="8" t="n">
        <x:v>46</x:v>
      </x:c>
      <x:c r="B53" s="8" t="str">
        <x:v>제작·조립·설치</x:v>
      </x:c>
      <x:c r="C53" s="8" t="str">
        <x:v>이미지</x:v>
      </x:c>
      <x:c r="D53" s="7" t="str">
        <x:v>고객·프로젝트 이미지</x:v>
      </x:c>
      <x:c r="E53" s="8" t="str">
        <x:v>X</x:v>
      </x:c>
      <x:c r="F53" s="8" t="str">
        <x:v>○</x:v>
      </x:c>
      <x:c r="G53" s="8" t="str">
        <x:v>△</x:v>
      </x:c>
      <x:c r="H53" s="8" t="str">
        <x:v>대기</x:v>
      </x:c>
      <x:c r="I53" s="8" t="str">
        <x:v>부분 구현</x:v>
      </x:c>
      <x:c r="J53" s="7" t="str">
        <x:v>{Image_4} + ClientTestImage.png</x:v>
      </x:c>
      <x:c r="K53" s="8" t="str">
        <x:v>데이터/파일 선택</x:v>
      </x:c>
      <x:c r="L53" s="8" t="str">
        <x:v>O</x:v>
      </x:c>
      <x:c r="M53" s="8" t="str">
        <x:v>O</x:v>
      </x:c>
      <x:c r="N53" s="43" t="n">
        <x:v>46224</x:v>
      </x:c>
      <x:c r="O53" s="43"/>
      <x:c r="P53" s="43" t="n">
        <x:v>46225</x:v>
      </x:c>
      <x:c r="Q53" s="7" t="str">
        <x:v>테스트 이미지 고정, 프로젝트별 공급 방식 미구현</x:v>
      </x:c>
      <x:c r="R53"/>
    </x:row>
    <x:row r="54" ht="42" customHeight="1">
      <x:c r="A54" s="8" t="n">
        <x:v>47</x:v>
      </x:c>
      <x:c r="B54" s="8" t="str">
        <x:v>제작·조립·설치·가공</x:v>
      </x:c>
      <x:c r="C54" s="8" t="str">
        <x:v>이미지</x:v>
      </x:c>
      <x:c r="D54" s="7" t="str">
        <x:v>다중 이미지 첨부</x:v>
      </x:c>
      <x:c r="E54" s="8" t="str">
        <x:v>X</x:v>
      </x:c>
      <x:c r="F54" s="8" t="str">
        <x:v>○</x:v>
      </x:c>
      <x:c r="G54" s="8" t="str">
        <x:v>O</x:v>
      </x:c>
      <x:c r="H54" s="8" t="str">
        <x:v>O</x:v>
      </x:c>
      <x:c r="I54" s="8" t="str">
        <x:v>완료</x:v>
      </x:c>
      <x:c r="J54" s="7" t="str">
        <x:v>ImportExcelWithData 3인자 imageMapping</x:v>
      </x:c>
      <x:c r="K54" s="8" t="str">
        <x:v>없음</x:v>
      </x:c>
      <x:c r="L54" s="8" t="str">
        <x:v>X</x:v>
      </x:c>
      <x:c r="M54" s="8" t="str">
        <x:v>O</x:v>
      </x:c>
      <x:c r="N54" s="43" t="n">
        <x:v>46223</x:v>
      </x:c>
      <x:c r="O54" s="43" t="n">
        <x:v>46225</x:v>
      </x:c>
      <x:c r="P54" s="43" t="n">
        <x:v>46225</x:v>
      </x:c>
      <x:c r="Q54" s="7" t="str">
        <x:v>기존 파일의 출장 개발 표시를 유지</x:v>
      </x:c>
      <x:c r="R54"/>
    </x:row>
    <x:row r="55" ht="42" customHeight="1">
      <x:c r="A55" s="8" t="n">
        <x:v>48</x:v>
      </x:c>
      <x:c r="B55" s="8" t="str">
        <x:v>제작·조립·설치·가공</x:v>
      </x:c>
      <x:c r="C55" s="8" t="str">
        <x:v>이미지</x:v>
      </x:c>
      <x:c r="D55" s="7" t="str">
        <x:v>North / ISO 방향 화살표</x:v>
      </x:c>
      <x:c r="E55" s="8" t="str">
        <x:v>X</x:v>
      </x:c>
      <x:c r="F55" s="8" t="str">
        <x:v>○</x:v>
      </x:c>
      <x:c r="G55" s="8" t="str">
        <x:v>O</x:v>
      </x:c>
      <x:c r="H55" s="8" t="str">
        <x:v>O</x:v>
      </x:c>
      <x:c r="I55" s="8" t="str">
        <x:v>완료</x:v>
      </x:c>
      <x:c r="J55" s="7" t="str">
        <x:v>{Image_1}/{Image_2}</x:v>
      </x:c>
      <x:c r="K55" s="8" t="str">
        <x:v>없음</x:v>
      </x:c>
      <x:c r="L55" s="8" t="str">
        <x:v>X</x:v>
      </x:c>
      <x:c r="M55" s="8" t="str">
        <x:v>X</x:v>
      </x:c>
      <x:c r="N55" s="43" t="n">
        <x:v>46188</x:v>
      </x:c>
      <x:c r="O55" s="43"/>
      <x:c r="P55" s="43" t="n">
        <x:v>46223</x:v>
      </x:c>
      <x:c r="Q55" s="7" t="str">
        <x:v>가공도에도 동일 적용</x:v>
      </x:c>
      <x:c r="R55"/>
    </x:row>
    <x:row r="56" ht="42" customHeight="1">
      <x:c r="A56" s="8" t="n">
        <x:v>11</x:v>
      </x:c>
      <x:c r="B56" s="8" t="str">
        <x:v>제작·조립·설치</x:v>
      </x:c>
      <x:c r="C56" s="8" t="str">
        <x:v>뷰</x:v>
      </x:c>
      <x:c r="D56" s="7" t="str">
        <x:v>평면도 모델 출력</x:v>
      </x:c>
      <x:c r="E56" s="8" t="str">
        <x:v>○</x:v>
      </x:c>
      <x:c r="F56" s="8" t="str">
        <x:v>X</x:v>
      </x:c>
      <x:c r="G56" s="8" t="str">
        <x:v>O</x:v>
      </x:c>
      <x:c r="H56" s="8" t="str">
        <x:v>O</x:v>
      </x:c>
      <x:c r="I56" s="8" t="str">
        <x:v>완료</x:v>
      </x:c>
      <x:c r="J56" s="7" t="str">
        <x:v>CameraDirection.Z_MINUS (-Z)</x:v>
      </x:c>
      <x:c r="K56" s="8" t="str">
        <x:v>없음</x:v>
      </x:c>
      <x:c r="L56" s="8" t="str">
        <x:v>X</x:v>
      </x:c>
      <x:c r="M56" s="8" t="str">
        <x:v>X</x:v>
      </x:c>
      <x:c r="N56" s="43" t="n">
        <x:v>46156</x:v>
      </x:c>
      <x:c r="O56" s="43"/>
      <x:c r="P56" s="43" t="n">
        <x:v>46156</x:v>
      </x:c>
      <x:c r="Q56" s="7" t="str">
        <x:v>사용자 요구 방향과 일치</x:v>
      </x:c>
      <x:c r="R56"/>
    </x:row>
    <x:row r="57" ht="42" customHeight="1">
      <x:c r="A57" s="8" t="n">
        <x:v>12</x:v>
      </x:c>
      <x:c r="B57" s="8" t="str">
        <x:v>제작·조립·설치</x:v>
      </x:c>
      <x:c r="C57" s="8" t="str">
        <x:v>뷰</x:v>
      </x:c>
      <x:c r="D57" s="7" t="str">
        <x:v>정면도 모델 출력</x:v>
      </x:c>
      <x:c r="E57" s="8" t="str">
        <x:v>○</x:v>
      </x:c>
      <x:c r="F57" s="8" t="str">
        <x:v>X</x:v>
      </x:c>
      <x:c r="G57" s="8" t="str">
        <x:v>O</x:v>
      </x:c>
      <x:c r="H57" s="8" t="str">
        <x:v>O</x:v>
      </x:c>
      <x:c r="I57" s="8" t="str">
        <x:v>완료</x:v>
      </x:c>
      <x:c r="J57" s="7" t="str">
        <x:v>CameraDirection.X_MINUS (-X)</x:v>
      </x:c>
      <x:c r="K57" s="8" t="str">
        <x:v>없음</x:v>
      </x:c>
      <x:c r="L57" s="8" t="str">
        <x:v>X</x:v>
      </x:c>
      <x:c r="M57" s="8" t="str">
        <x:v>X</x:v>
      </x:c>
      <x:c r="N57" s="43" t="n">
        <x:v>46156</x:v>
      </x:c>
      <x:c r="O57" s="43"/>
      <x:c r="P57" s="43" t="n">
        <x:v>46156</x:v>
      </x:c>
      <x:c r="Q57" s="7" t="str">
        <x:v>사용자 요구 방향과 일치</x:v>
      </x:c>
      <x:c r="R57"/>
    </x:row>
    <x:row r="58" ht="42" customHeight="1">
      <x:c r="A58" s="8" t="n">
        <x:v>51</x:v>
      </x:c>
      <x:c r="B58" s="8" t="str">
        <x:v>제작·조립</x:v>
      </x:c>
      <x:c r="C58" s="8" t="str">
        <x:v>치수</x:v>
      </x:c>
      <x:c r="D58" s="7" t="str">
        <x:v>치수 대각선 표시</x:v>
      </x:c>
      <x:c r="E58" s="8" t="str">
        <x:v>X</x:v>
      </x:c>
      <x:c r="F58" s="8" t="str">
        <x:v>X</x:v>
      </x:c>
      <x:c r="G58" s="8" t="str">
        <x:v>X</x:v>
      </x:c>
      <x:c r="H58" s="8" t="str">
        <x:v>해당없음</x:v>
      </x:c>
      <x:c r="I58" s="8" t="str">
        <x:v>적용 제외</x:v>
      </x:c>
      <x:c r="J58" s="7" t="str">
        <x:v>제작·조립도는 수평·수직 위치 치수를 유지</x:v>
      </x:c>
      <x:c r="K58" s="8" t="str">
        <x:v>없음</x:v>
      </x:c>
      <x:c r="L58" s="8" t="str">
        <x:v>X</x:v>
      </x:c>
      <x:c r="M58" s="8" t="str">
        <x:v>X</x:v>
      </x:c>
      <x:c r="N58" s="43"/>
      <x:c r="O58" s="43" t="n">
        <x:v>46226</x:v>
      </x:c>
      <x:c r="P58" s="43" t="n">
        <x:v>46226</x:v>
      </x:c>
      <x:c r="Q58" s="7" t="str">
        <x:v>생산 기준상 대각 선형 치수를 적용하지 않기로 결정하고 기존 위치 치수를 유지</x:v>
      </x:c>
      <x:c r="R58"/>
    </x:row>
    <x:row r="59" ht="42" customHeight="1">
      <x:c r="A59" s="8" t="n">
        <x:v>13</x:v>
      </x:c>
      <x:c r="B59" s="8" t="str">
        <x:v>제작·조립·설치</x:v>
      </x:c>
      <x:c r="C59" s="8" t="str">
        <x:v>뷰</x:v>
      </x:c>
      <x:c r="D59" s="7" t="str">
        <x:v>측면도 모델 출력</x:v>
      </x:c>
      <x:c r="E59" s="8" t="str">
        <x:v>○</x:v>
      </x:c>
      <x:c r="F59" s="8" t="str">
        <x:v>X</x:v>
      </x:c>
      <x:c r="G59" s="8" t="str">
        <x:v>O</x:v>
      </x:c>
      <x:c r="H59" s="8" t="str">
        <x:v>O</x:v>
      </x:c>
      <x:c r="I59" s="8" t="str">
        <x:v>완료</x:v>
      </x:c>
      <x:c r="J59" s="7" t="str">
        <x:v>CameraDirection.Y_MINUS (-Y)</x:v>
      </x:c>
      <x:c r="K59" s="8" t="str">
        <x:v>없음</x:v>
      </x:c>
      <x:c r="L59" s="8" t="str">
        <x:v>X</x:v>
      </x:c>
      <x:c r="M59" s="8" t="str">
        <x:v>X</x:v>
      </x:c>
      <x:c r="N59" s="43" t="n">
        <x:v>46156</x:v>
      </x:c>
      <x:c r="O59" s="43"/>
      <x:c r="P59" s="43" t="n">
        <x:v>46156</x:v>
      </x:c>
      <x:c r="Q59" s="7" t="str">
        <x:v>사용자 요구 방향과 일치</x:v>
      </x:c>
      <x:c r="R59"/>
    </x:row>
    <x:row r="60" ht="42" customHeight="1">
      <x:c r="A60" s="8" t="n">
        <x:v>53</x:v>
      </x:c>
      <x:c r="B60" s="8" t="str">
        <x:v>공통</x:v>
      </x:c>
      <x:c r="C60" s="8" t="str">
        <x:v>치수 디자인</x:v>
      </x:c>
      <x:c r="D60" s="7" t="str">
        <x:v>치수 텍스트 겹침 회피</x:v>
      </x:c>
      <x:c r="E60" s="8" t="str">
        <x:v>X</x:v>
      </x:c>
      <x:c r="F60" s="8" t="str">
        <x:v>○</x:v>
      </x:c>
      <x:c r="G60" s="8" t="str">
        <x:v>X</x:v>
      </x:c>
      <x:c r="H60" s="8" t="str">
        <x:v>X</x:v>
      </x:c>
      <x:c r="I60" s="8" t="str">
        <x:v>분석 필요</x:v>
      </x:c>
      <x:c r="J60" s="7" t="str">
        <x:v>일부 수동 시프트 이력, 충돌 판정 미정</x:v>
      </x:c>
      <x:c r="K60" s="8" t="str">
        <x:v>API/앱 개발</x:v>
      </x:c>
      <x:c r="L60" s="8" t="str">
        <x:v>O</x:v>
      </x:c>
      <x:c r="M60" s="8" t="str">
        <x:v>O</x:v>
      </x:c>
      <x:c r="N60" s="43" t="n">
        <x:v>46154</x:v>
      </x:c>
      <x:c r="O60" s="43"/>
      <x:c r="P60" s="43" t="n">
        <x:v>46225</x:v>
      </x:c>
      <x:c r="Q60" s="7" t="str">
        <x:v>기존 파일의 출장 개발 O; 완료일 표시는 제거</x:v>
      </x:c>
      <x:c r="R60"/>
    </x:row>
    <x:row r="61" ht="42" customHeight="1">
      <x:c r="A61" s="8" t="n">
        <x:v>74</x:v>
      </x:c>
      <x:c r="B61" s="8" t="str">
        <x:v>제작·가공</x:v>
      </x:c>
      <x:c r="C61" s="8" t="str">
        <x:v>치수 디자인</x:v>
      </x:c>
      <x:c r="D61" s="7" t="str">
        <x:v>작은 치수 텍스트 이동 시 치수선 길이 제어</x:v>
      </x:c>
      <x:c r="E61" s="8" t="str">
        <x:v>X</x:v>
      </x:c>
      <x:c r="F61" s="8" t="str">
        <x:v>○</x:v>
      </x:c>
      <x:c r="G61" s="8" t="str">
        <x:v>X</x:v>
      </x:c>
      <x:c r="H61" s="8" t="str">
        <x:v>해당없음</x:v>
      </x:c>
      <x:c r="I61" s="8" t="str">
        <x:v>API 요청 필요</x:v>
      </x:c>
      <x:c r="J61" s="7" t="str">
        <x:v>SetMeasureItemDistanceTextPos 사용 시 치수선이 양쪽으로 과도하게 연장</x:v>
      </x:c>
      <x:c r="K61" s="8" t="str">
        <x:v>API 요청</x:v>
      </x:c>
      <x:c r="L61" s="8" t="str">
        <x:v>X</x:v>
      </x:c>
      <x:c r="M61" s="8" t="str">
        <x:v>X</x:v>
      </x:c>
      <x:c r="N61" s="43"/>
      <x:c r="O61" s="43"/>
      <x:c r="P61" s="43" t="n">
        <x:v>46225</x:v>
      </x:c>
      <x:c r="Q61" s="7" t="str">
        <x:v>버그가 아닌 낮은 우선순위 개선 요청이며 아직 API 요청을 전달하지 않음</x:v>
      </x:c>
      <x:c r="R61"/>
    </x:row>
    <x:row r="62" ht="42" customHeight="1">
      <x:c r="A62" s="8" t="n">
        <x:v>19</x:v>
      </x:c>
      <x:c r="B62" s="8" t="str">
        <x:v>제작·조립·설치</x:v>
      </x:c>
      <x:c r="C62" s="8" t="str">
        <x:v>ISO 표현</x:v>
      </x:c>
      <x:c r="D62" s="7" t="str">
        <x:v>BOM 번호와 ISO 풍선 번호 동기화</x:v>
      </x:c>
      <x:c r="E62" s="8" t="str">
        <x:v>○</x:v>
      </x:c>
      <x:c r="F62" s="8" t="str">
        <x:v>X</x:v>
      </x:c>
      <x:c r="G62" s="8" t="str">
        <x:v>O</x:v>
      </x:c>
      <x:c r="H62" s="8" t="str">
        <x:v>O</x:v>
      </x:c>
      <x:c r="I62" s="8" t="str">
        <x:v>완료</x:v>
      </x:c>
      <x:c r="J62" s="7" t="str">
        <x:v>BOM No 매핑 → CreateIsoBalloonNotes</x:v>
      </x:c>
      <x:c r="K62" s="8" t="str">
        <x:v>없음</x:v>
      </x:c>
      <x:c r="L62" s="8" t="str">
        <x:v>X</x:v>
      </x:c>
      <x:c r="M62" s="8" t="str">
        <x:v>X</x:v>
      </x:c>
      <x:c r="N62" s="43" t="n">
        <x:v>46156</x:v>
      </x:c>
      <x:c r="O62" s="43"/>
      <x:c r="P62" s="43" t="n">
        <x:v>46156</x:v>
      </x:c>
      <x:c r="Q62" s="7" t="str">
        <x:v>UDA가 아니라 앱이 생성한 BOM 순번 사용</x:v>
      </x:c>
      <x:c r="R62"/>
    </x:row>
    <x:row r="63" ht="42" customHeight="1">
      <x:c r="A63" s="8" t="n">
        <x:v>22</x:v>
      </x:c>
      <x:c r="B63" s="8" t="str">
        <x:v>제작·조립·설치·가공</x:v>
      </x:c>
      <x:c r="C63" s="8" t="str">
        <x:v>BOM</x:v>
      </x:c>
      <x:c r="D63" s="7" t="str">
        <x:v>BOM 테이블 출력</x:v>
      </x:c>
      <x:c r="E63" s="8" t="str">
        <x:v>○</x:v>
      </x:c>
      <x:c r="F63" s="8" t="str">
        <x:v>X</x:v>
      </x:c>
      <x:c r="G63" s="8" t="str">
        <x:v>O</x:v>
      </x:c>
      <x:c r="H63" s="8" t="str">
        <x:v>O</x:v>
      </x:c>
      <x:c r="I63" s="8" t="str">
        <x:v>완료</x:v>
      </x:c>
      <x:c r="J63" s="7" t="str">
        <x:v>Excel Input 태그 + lvDrawingBOMInfo</x:v>
      </x:c>
      <x:c r="K63" s="8" t="str">
        <x:v>없음</x:v>
      </x:c>
      <x:c r="L63" s="8" t="str">
        <x:v>X</x:v>
      </x:c>
      <x:c r="M63" s="8" t="str">
        <x:v>X</x:v>
      </x:c>
      <x:c r="N63" s="43" t="n">
        <x:v>46125</x:v>
      </x:c>
      <x:c r="O63" s="43"/>
      <x:c r="P63" s="43" t="n">
        <x:v>46225</x:v>
      </x:c>
      <x:c r="Q63" s="7" t="str">
        <x:v>8개 열 구조와 템플릿 출력 구현</x:v>
      </x:c>
      <x:c r="R63"/>
    </x:row>
    <x:row r="64" ht="42" customHeight="1">
      <x:c r="A64" s="8" t="n">
        <x:v>56</x:v>
      </x:c>
      <x:c r="B64" s="8" t="str">
        <x:v>가공도</x:v>
      </x:c>
      <x:c r="C64" s="8" t="str">
        <x:v>치수 디자인</x:v>
      </x:c>
      <x:c r="D64" s="7" t="str">
        <x:v>가공도 텍스트-모델 충돌</x:v>
      </x:c>
      <x:c r="E64" s="8" t="str">
        <x:v>X</x:v>
      </x:c>
      <x:c r="F64" s="8" t="str">
        <x:v>○</x:v>
      </x:c>
      <x:c r="G64" s="8" t="str">
        <x:v>X</x:v>
      </x:c>
      <x:c r="H64" s="8" t="str">
        <x:v>X</x:v>
      </x:c>
      <x:c r="I64" s="8" t="str">
        <x:v>분석 필요</x:v>
      </x:c>
      <x:c r="J64" s="7" t="str">
        <x:v>배치 충돌 판정 없음</x:v>
      </x:c>
      <x:c r="K64" s="8" t="str">
        <x:v>앱 개발</x:v>
      </x:c>
      <x:c r="L64" s="8" t="str">
        <x:v>O</x:v>
      </x:c>
      <x:c r="M64" s="8" t="str">
        <x:v>X</x:v>
      </x:c>
      <x:c r="N64" s="43"/>
      <x:c r="O64" s="43"/>
      <x:c r="P64" s="43" t="n">
        <x:v>46224</x:v>
      </x:c>
      <x:c r="Q64" s="7" t="str">
        <x:v>생산 정보 자체보다 가독성 디자인 항목</x:v>
      </x:c>
      <x:c r="R64"/>
    </x:row>
    <x:row r="65" ht="42" customHeight="1">
      <x:c r="A65" s="8" t="n">
        <x:v>23</x:v>
      </x:c>
      <x:c r="B65" s="8" t="str">
        <x:v>제작·조립·설치·가공</x:v>
      </x:c>
      <x:c r="C65" s="8" t="str">
        <x:v>BOM</x:v>
      </x:c>
      <x:c r="D65" s="7" t="str">
        <x:v>번호</x:v>
      </x:c>
      <x:c r="E65" s="8" t="str">
        <x:v>○</x:v>
      </x:c>
      <x:c r="F65" s="8" t="str">
        <x:v>X</x:v>
      </x:c>
      <x:c r="G65" s="8" t="str">
        <x:v>O</x:v>
      </x:c>
      <x:c r="H65" s="8" t="str">
        <x:v>O</x:v>
      </x:c>
      <x:c r="I65" s="8" t="str">
        <x:v>완료</x:v>
      </x:c>
      <x:c r="J65" s="7" t="str">
        <x:v>앱이 Part/BOM 순번으로 생성 (UDA 아님)</x:v>
      </x:c>
      <x:c r="K65" s="8" t="str">
        <x:v>없음</x:v>
      </x:c>
      <x:c r="L65" s="8" t="str">
        <x:v>X</x:v>
      </x:c>
      <x:c r="M65" s="8" t="str">
        <x:v>X</x:v>
      </x:c>
      <x:c r="N65" s="43" t="n">
        <x:v>46125</x:v>
      </x:c>
      <x:c r="O65" s="43"/>
      <x:c r="P65" s="43" t="n">
        <x:v>46156</x:v>
      </x:c>
      <x:c r="Q65" s="7" t="str">
        <x:v>ISO 풍선과 동일 번호 사용</x:v>
      </x:c>
      <x:c r="R65"/>
    </x:row>
    <x:row r="66" ht="42" customHeight="1">
      <x:c r="A66" s="8" t="n">
        <x:v>24</x:v>
      </x:c>
      <x:c r="B66" s="8" t="str">
        <x:v>제작·조립·설치·가공</x:v>
      </x:c>
      <x:c r="C66" s="8" t="str">
        <x:v>BOM</x:v>
      </x:c>
      <x:c r="D66" s="7" t="str">
        <x:v>ITEM</x:v>
      </x:c>
      <x:c r="E66" s="8" t="str">
        <x:v>○</x:v>
      </x:c>
      <x:c r="F66" s="8" t="str">
        <x:v>X</x:v>
      </x:c>
      <x:c r="G66" s="8" t="str">
        <x:v>O</x:v>
      </x:c>
      <x:c r="H66" s="8" t="str">
        <x:v>O</x:v>
      </x:c>
      <x:c r="I66" s="8" t="str">
        <x:v>완료</x:v>
      </x:c>
      <x:c r="J66" s="7" t="str">
        <x:v>UDA SPREF 앞 구간; SPREF 없음·빈값은 unset</x:v>
      </x:c>
      <x:c r="K66" s="8" t="str">
        <x:v>없음</x:v>
      </x:c>
      <x:c r="L66" s="8" t="str">
        <x:v>X</x:v>
      </x:c>
      <x:c r="M66" s="8" t="str">
        <x:v>X</x:v>
      </x:c>
      <x:c r="N66" s="43" t="n">
        <x:v>46125</x:v>
      </x:c>
      <x:c r="O66" s="43" t="n">
        <x:v>46226</x:v>
      </x:c>
      <x:c r="P66" s="43" t="n">
        <x:v>46226</x:v>
      </x:c>
      <x:c r="Q66" s="7" t="str">
        <x:v>SPREF 미설정 시 ITEM은 unset, 후속 빈 데이터는 -로 표시하며 실기 확인 완료</x:v>
      </x:c>
      <x:c r="R66"/>
    </x:row>
    <x:row r="67" ht="42" customHeight="1">
      <x:c r="A67" s="8" t="n">
        <x:v>25</x:v>
      </x:c>
      <x:c r="B67" s="8" t="str">
        <x:v>제작·조립·설치·가공</x:v>
      </x:c>
      <x:c r="C67" s="8" t="str">
        <x:v>BOM</x:v>
      </x:c>
      <x:c r="D67" s="7" t="str">
        <x:v>MATERIAL</x:v>
      </x:c>
      <x:c r="E67" s="8" t="str">
        <x:v>○</x:v>
      </x:c>
      <x:c r="F67" s="8" t="str">
        <x:v>X</x:v>
      </x:c>
      <x:c r="G67" s="8" t="str">
        <x:v>O</x:v>
      </x:c>
      <x:c r="H67" s="8" t="str">
        <x:v>O</x:v>
      </x:c>
      <x:c r="I67" s="8" t="str">
        <x:v>완료</x:v>
      </x:c>
      <x:c r="J67" s="7" t="str">
        <x:v>UDA MATREF</x:v>
      </x:c>
      <x:c r="K67" s="8" t="str">
        <x:v>없음</x:v>
      </x:c>
      <x:c r="L67" s="8" t="str">
        <x:v>X</x:v>
      </x:c>
      <x:c r="M67" s="8" t="str">
        <x:v>X</x:v>
      </x:c>
      <x:c r="N67" s="43" t="n">
        <x:v>46125</x:v>
      </x:c>
      <x:c r="O67" s="43"/>
      <x:c r="P67" s="43" t="n">
        <x:v>46155</x:v>
      </x:c>
      <x:c r="Q67" s="7" t="str">
        <x:v>선행 / 제거</x:v>
      </x:c>
      <x:c r="R67"/>
    </x:row>
    <x:row r="68" ht="42" customHeight="1">
      <x:c r="A68" s="8" t="n">
        <x:v>28</x:v>
      </x:c>
      <x:c r="B68" s="8" t="str">
        <x:v>제작·조립·설치·가공</x:v>
      </x:c>
      <x:c r="C68" s="8" t="str">
        <x:v>BOM</x:v>
      </x:c>
      <x:c r="D68" s="7" t="str">
        <x:v>T/W</x:v>
      </x:c>
      <x:c r="E68" s="8" t="str">
        <x:v>○</x:v>
      </x:c>
      <x:c r="F68" s="8" t="str">
        <x:v>X</x:v>
      </x:c>
      <x:c r="G68" s="8" t="str">
        <x:v>O</x:v>
      </x:c>
      <x:c r="H68" s="8" t="str">
        <x:v>O</x:v>
      </x:c>
      <x:c r="I68" s="8" t="str">
        <x:v>완료</x:v>
      </x:c>
      <x:c r="J68" s="7" t="str">
        <x:v>UDA GWEI, 숫자 파싱·소수 2자리</x:v>
      </x:c>
      <x:c r="K68" s="8" t="str">
        <x:v>없음</x:v>
      </x:c>
      <x:c r="L68" s="8" t="str">
        <x:v>X</x:v>
      </x:c>
      <x:c r="M68" s="8" t="str">
        <x:v>X</x:v>
      </x:c>
      <x:c r="N68" s="43" t="n">
        <x:v>46125</x:v>
      </x:c>
      <x:c r="O68" s="43"/>
      <x:c r="P68" s="43" t="n">
        <x:v>46224</x:v>
      </x:c>
      <x:c r="Q68" s="7" t="str">
        <x:v>요약행은 개별 중량 합계</x:v>
      </x:c>
      <x:c r="R68"/>
    </x:row>
    <x:row r="69" ht="42" customHeight="1">
      <x:c r="A69" s="8" t="n">
        <x:v>31</x:v>
      </x:c>
      <x:c r="B69" s="8" t="str">
        <x:v>제작도</x:v>
      </x:c>
      <x:c r="C69" s="8" t="str">
        <x:v>BOM</x:v>
      </x:c>
      <x:c r="D69" s="7" t="str">
        <x:v>BOM 25행 확장</x:v>
      </x:c>
      <x:c r="E69" s="8" t="str">
        <x:v>○</x:v>
      </x:c>
      <x:c r="F69" s="8" t="str">
        <x:v>X</x:v>
      </x:c>
      <x:c r="G69" s="8" t="str">
        <x:v>O</x:v>
      </x:c>
      <x:c r="H69" s="8" t="str">
        <x:v>O</x:v>
      </x:c>
      <x:c r="I69" s="8" t="str">
        <x:v>완료</x:v>
      </x:c>
      <x:c r="J69" s="7" t="str">
        <x:v>Input 1~20행=4~163, 21~25행=201~240</x:v>
      </x:c>
      <x:c r="K69" s="8" t="str">
        <x:v>없음</x:v>
      </x:c>
      <x:c r="L69" s="8" t="str">
        <x:v>X</x:v>
      </x:c>
      <x:c r="M69" s="8" t="str">
        <x:v>O</x:v>
      </x:c>
      <x:c r="N69" s="43" t="n">
        <x:v>46225</x:v>
      </x:c>
      <x:c r="O69" s="43" t="n">
        <x:v>46225</x:v>
      </x:c>
      <x:c r="P69" s="43" t="n">
        <x:v>46225</x:v>
      </x:c>
      <x:c r="Q69" s="7" t="str">
        <x:v>Input 240까지 제작도 실기 렌더 확인</x:v>
      </x:c>
      <x:c r="R69"/>
    </x:row>
    <x:row r="70" ht="42" customHeight="1">
      <x:c r="A70" s="8" t="n">
        <x:v>49</x:v>
      </x:c>
      <x:c r="B70" s="8" t="str">
        <x:v>제작·조립</x:v>
      </x:c>
      <x:c r="C70" s="8" t="str">
        <x:v>치수</x:v>
      </x:c>
      <x:c r="D70" s="7" t="str">
        <x:v>평면·정면·측면 기본/체인 치수</x:v>
      </x:c>
      <x:c r="E70" s="8" t="str">
        <x:v>○</x:v>
      </x:c>
      <x:c r="F70" s="8" t="str">
        <x:v>X</x:v>
      </x:c>
      <x:c r="G70" s="8" t="str">
        <x:v>O</x:v>
      </x:c>
      <x:c r="H70" s="8" t="str">
        <x:v>O</x:v>
      </x:c>
      <x:c r="I70" s="8" t="str">
        <x:v>완료</x:v>
      </x:c>
      <x:c r="J70" s="7" t="str">
        <x:v>Osnap 기반 ShowAllDimensions</x:v>
      </x:c>
      <x:c r="K70" s="8" t="str">
        <x:v>없음</x:v>
      </x:c>
      <x:c r="L70" s="8" t="str">
        <x:v>X</x:v>
      </x:c>
      <x:c r="M70" s="8" t="str">
        <x:v>X</x:v>
      </x:c>
      <x:c r="N70" s="43" t="n">
        <x:v>46134</x:v>
      </x:c>
      <x:c r="O70" s="43" t="n">
        <x:v>46224</x:v>
      </x:c>
      <x:c r="P70" s="43" t="n">
        <x:v>46224</x:v>
      </x:c>
      <x:c r="Q70" s="7" t="str">
        <x:v>외곽 배치·보조선 기준 실기 확인 완료</x:v>
      </x:c>
      <x:c r="R70"/>
    </x:row>
    <x:row r="71" ht="42" customHeight="1">
      <x:c r="A71" s="8" t="n">
        <x:v>63</x:v>
      </x:c>
      <x:c r="B71" s="8" t="str">
        <x:v>가공도</x:v>
      </x:c>
      <x:c r="C71" s="8" t="str">
        <x:v>미리보기</x:v>
      </x:c>
      <x:c r="D71" s="7" t="str">
        <x:v>3D 미리보기 형상 풍선 숨김</x:v>
      </x:c>
      <x:c r="E71" s="8" t="str">
        <x:v>X</x:v>
      </x:c>
      <x:c r="F71" s="8" t="str">
        <x:v>○</x:v>
      </x:c>
      <x:c r="G71" s="8" t="str">
        <x:v>O</x:v>
      </x:c>
      <x:c r="H71" s="8" t="str">
        <x:v>대기</x:v>
      </x:c>
      <x:c r="I71" s="8" t="str">
        <x:v>실기 검증 대기</x:v>
      </x:c>
      <x:c r="J71" s="7" t="str">
        <x:v>공통 장면 생성 후 3D Review Note 정리</x:v>
      </x:c>
      <x:c r="K71" s="8" t="str">
        <x:v>없음</x:v>
      </x:c>
      <x:c r="L71" s="8" t="str">
        <x:v>X</x:v>
      </x:c>
      <x:c r="M71" s="8" t="str">
        <x:v>O</x:v>
      </x:c>
      <x:c r="N71" s="43" t="n">
        <x:v>46225</x:v>
      </x:c>
      <x:c r="O71" s="43"/>
      <x:c r="P71" s="43" t="n">
        <x:v>46225</x:v>
      </x:c>
      <x:c r="Q71" s="7" t="str">
        <x:v>3D 미리보기 풍선은 숨기고 PDF의 Hole·SlotHole·EarthBoss 풍선은 유지; 실기 확인 대기</x:v>
      </x:c>
      <x:c r="R71"/>
    </x:row>
    <x:row r="72" ht="42" customHeight="1">
      <x:c r="A72" s="8" t="n">
        <x:v>50</x:v>
      </x:c>
      <x:c r="B72" s="8" t="str">
        <x:v>제작·가공</x:v>
      </x:c>
      <x:c r="C72" s="8" t="str">
        <x:v>치수</x:v>
      </x:c>
      <x:c r="D72" s="7" t="str">
        <x:v>보조선 종이 절대 길이·간격</x:v>
      </x:c>
      <x:c r="E72" s="8" t="str">
        <x:v>○</x:v>
      </x:c>
      <x:c r="F72" s="8" t="str">
        <x:v>X</x:v>
      </x:c>
      <x:c r="G72" s="8" t="str">
        <x:v>O</x:v>
      </x:c>
      <x:c r="H72" s="8" t="str">
        <x:v>O</x:v>
      </x:c>
      <x:c r="I72" s="8" t="str">
        <x:v>완료</x:v>
      </x:c>
      <x:c r="J72" s="7" t="str">
        <x:v>제작 7.5/15mm, 가공 9/18mm, gap 2mm</x:v>
      </x:c>
      <x:c r="K72" s="8" t="str">
        <x:v>없음</x:v>
      </x:c>
      <x:c r="L72" s="8" t="str">
        <x:v>X</x:v>
      </x:c>
      <x:c r="M72" s="8" t="str">
        <x:v>X</x:v>
      </x:c>
      <x:c r="N72" s="43" t="n">
        <x:v>46206</x:v>
      </x:c>
      <x:c r="O72" s="43" t="n">
        <x:v>46224</x:v>
      </x:c>
      <x:c r="P72" s="43" t="n">
        <x:v>46224</x:v>
      </x:c>
      <x:c r="Q72" s="7" t="str">
        <x:v>모델 크기와 무관한 종이 기준</x:v>
      </x:c>
      <x:c r="R72"/>
    </x:row>
    <x:row r="73" ht="42" customHeight="1">
      <x:c r="A73" s="8" t="n">
        <x:v>65</x:v>
      </x:c>
      <x:c r="B73" s="8" t="str">
        <x:v>공통</x:v>
      </x:c>
      <x:c r="C73" s="8" t="str">
        <x:v>템플릿</x:v>
      </x:c>
      <x:c r="D73" s="7" t="str">
        <x:v>템플릿 사전 변환</x:v>
      </x:c>
      <x:c r="E73" s="8" t="str">
        <x:v>X</x:v>
      </x:c>
      <x:c r="F73" s="8" t="str">
        <x:v>X</x:v>
      </x:c>
      <x:c r="G73" s="8" t="str">
        <x:v>O</x:v>
      </x:c>
      <x:c r="H73" s="8" t="str">
        <x:v>해당없음</x:v>
      </x:c>
      <x:c r="I73" s="8" t="str">
        <x:v>완료</x:v>
      </x:c>
      <x:c r="J73" s="7" t="str">
        <x:v>JSON 사전변환은 폐기, 소형 Excel 직접 Import로 확정</x:v>
      </x:c>
      <x:c r="K73" s="8" t="str">
        <x:v>없음</x:v>
      </x:c>
      <x:c r="L73" s="8" t="str">
        <x:v>X</x:v>
      </x:c>
      <x:c r="M73" s="8" t="str">
        <x:v>X</x:v>
      </x:c>
      <x:c r="N73" s="43" t="n">
        <x:v>46215</x:v>
      </x:c>
      <x:c r="O73" s="43" t="n">
        <x:v>46222</x:v>
      </x:c>
      <x:c r="P73" s="43" t="n">
        <x:v>46222</x:v>
      </x:c>
      <x:c r="Q73" s="7" t="str">
        <x:v>동적 BOM에서는 사전변환 부적합이라는 기술 결론</x:v>
      </x:c>
    </x:row>
    <x:row r="74" ht="42" customHeight="1">
      <x:c r="A74" s="8" t="n">
        <x:v>66</x:v>
      </x:c>
      <x:c r="B74" s="8" t="str">
        <x:v>공통</x:v>
      </x:c>
      <x:c r="C74" s="8" t="str">
        <x:v>자동화 UX</x:v>
      </x:c>
      <x:c r="D74" s="7" t="str">
        <x:v>간섭검사 진행창 숨기기</x:v>
      </x:c>
      <x:c r="E74" s="8" t="str">
        <x:v>X</x:v>
      </x:c>
      <x:c r="F74" s="8" t="str">
        <x:v>○</x:v>
      </x:c>
      <x:c r="G74" s="8" t="str">
        <x:v>O</x:v>
      </x:c>
      <x:c r="H74" s="8" t="str">
        <x:v>O</x:v>
      </x:c>
      <x:c r="I74" s="8" t="str">
        <x:v>완료</x:v>
      </x:c>
      <x:c r="J74" s="7" t="str">
        <x:v>검사 ID별 progressForm=false 직렬 실행</x:v>
      </x:c>
      <x:c r="K74" s="8" t="str">
        <x:v>없음</x:v>
      </x:c>
      <x:c r="L74" s="8" t="str">
        <x:v>X</x:v>
      </x:c>
      <x:c r="M74" s="8" t="str">
        <x:v>O</x:v>
      </x:c>
      <x:c r="N74" s="43" t="n">
        <x:v>46225</x:v>
      </x:c>
      <x:c r="O74" s="43" t="n">
        <x:v>46225</x:v>
      </x:c>
      <x:c r="P74" s="43" t="n">
        <x:v>46225</x:v>
      </x:c>
      <x:c r="Q74" s="7" t="str">
        <x:v>진행창 숨김·후속 검사 전환·마지막 도면 리스트 생성을 실기 확인함</x:v>
      </x:c>
    </x:row>
    <x:row r="75" ht="42" customHeight="1">
      <x:c r="A75" s="8" t="n">
        <x:v>4</x:v>
      </x:c>
      <x:c r="B75" s="8" t="str">
        <x:v>가공도</x:v>
      </x:c>
      <x:c r="C75" s="8" t="str">
        <x:v>출력 흐름</x:v>
      </x:c>
      <x:c r="D75" s="7" t="str">
        <x:v>가공도 수동 PDF 출력</x:v>
      </x:c>
      <x:c r="E75" s="8" t="str">
        <x:v>○</x:v>
      </x:c>
      <x:c r="F75" s="8" t="str">
        <x:v>X</x:v>
      </x:c>
      <x:c r="G75" s="8" t="str">
        <x:v>△</x:v>
      </x:c>
      <x:c r="H75" s="8" t="str">
        <x:v>X</x:v>
      </x:c>
      <x:c r="I75" s="8" t="str">
        <x:v>출력 불가</x:v>
      </x:c>
      <x:c r="J75" s="7" t="str">
        <x:v>Excel 가공도 템플릿 + 2D 캡처</x:v>
      </x:c>
      <x:c r="K75" s="8" t="str">
        <x:v>API 요청 필요</x:v>
      </x:c>
      <x:c r="L75" s="8" t="str">
        <x:v>O</x:v>
      </x:c>
      <x:c r="M75" s="8" t="str">
        <x:v>O</x:v>
      </x:c>
      <x:c r="N75" s="43" t="n">
        <x:v>46168</x:v>
      </x:c>
      <x:c r="O75" s="43"/>
      <x:c r="P75" s="43" t="n">
        <x:v>46225</x:v>
      </x:c>
      <x:c r="Q75" s="7" t="str">
        <x:v>첫 2D 캡처 AccessViolation으로 출력 불가. API 수정 요청은 아직 전달하지 않음</x:v>
      </x:c>
    </x:row>
    <x:row r="76" ht="42" customHeight="1">
      <x:c r="A76" s="8" t="n">
        <x:v>68</x:v>
      </x:c>
      <x:c r="B76" s="8" t="str">
        <x:v>제작·조립·설치</x:v>
      </x:c>
      <x:c r="C76" s="8" t="str">
        <x:v>3D 미리보기</x:v>
      </x:c>
      <x:c r="D76" s="7" t="str">
        <x:v>ISO 전환 시 이전 X/Y/Z 치수·보조선 정리</x:v>
      </x:c>
      <x:c r="E76" s="8" t="str">
        <x:v>X</x:v>
      </x:c>
      <x:c r="F76" s="8" t="str">
        <x:v>○</x:v>
      </x:c>
      <x:c r="G76" s="8" t="str">
        <x:v>O</x:v>
      </x:c>
      <x:c r="H76" s="8" t="str">
        <x:v>O</x:v>
      </x:c>
      <x:c r="I76" s="8" t="str">
        <x:v>완료</x:v>
      </x:c>
      <x:c r="J76" s="7" t="str">
        <x:v>ISO/X/Y/Z 진입 전에 Review.Measure·ShapeDrawing 정리</x:v>
      </x:c>
      <x:c r="K76" s="8" t="str">
        <x:v>없음</x:v>
      </x:c>
      <x:c r="L76" s="8" t="str">
        <x:v>X</x:v>
      </x:c>
      <x:c r="M76" s="8" t="str">
        <x:v>O</x:v>
      </x:c>
      <x:c r="N76" s="43" t="n">
        <x:v>46225</x:v>
      </x:c>
      <x:c r="O76" s="43" t="n">
        <x:v>46225</x:v>
      </x:c>
      <x:c r="P76" s="43" t="n">
        <x:v>46225</x:v>
      </x:c>
      <x:c r="Q76" s="7" t="str">
        <x:v>X/Y/Z 치수 표시 후 ISO 진입 시 잔류 치수 없이 풍선만 표시됨을 사내 실기 확인</x:v>
      </x:c>
    </x:row>
    <x:row r="77" ht="42" customHeight="1">
      <x:c r="A77" t="n">
        <x:v>69</x:v>
      </x:c>
      <x:c r="B77" t="str">
        <x:v>제작·조립·설치</x:v>
      </x:c>
      <x:c r="C77" t="str">
        <x:v>출력 후 정리</x:v>
      </x:c>
      <x:c r="D77" t="str">
        <x:v>2D 출력 후 3D 임시 치수·보조선 정리</x:v>
      </x:c>
      <x:c r="E77" t="str">
        <x:v>○</x:v>
      </x:c>
      <x:c r="F77" t="str">
        <x:v>X</x:v>
      </x:c>
      <x:c r="G77" t="str">
        <x:v>O</x:v>
      </x:c>
      <x:c r="H77" t="str">
        <x:v>O</x:v>
      </x:c>
      <x:c r="I77" t="str">
        <x:v>완료</x:v>
      </x:c>
      <x:c r="J77" t="str">
        <x:v>공통 출력 wrapper의 finally에서 3D Measure·ShapeDrawing 정리</x:v>
      </x:c>
      <x:c r="K77" t="str">
        <x:v>없음</x:v>
      </x:c>
      <x:c r="L77" t="str">
        <x:v>X</x:v>
      </x:c>
      <x:c r="M77" t="str">
        <x:v>O</x:v>
      </x:c>
      <x:c r="N77" s="44" t="n">
        <x:v>46225</x:v>
      </x:c>
      <x:c r="O77" s="44" t="n">
        <x:v>46225</x:v>
      </x:c>
      <x:c r="P77" s="44" t="n">
        <x:v>46225</x:v>
      </x:c>
      <x:c r="Q77" t="str">
        <x:v>출력 직후 3D 잔류 치수 없음, 2D 치수 유지, 연속 모델·시트 이월 없음 실기 확인</x:v>
      </x:c>
    </x:row>
    <x:row r="78" ht="42" customHeight="1">
      <x:c r="A78" t="n">
        <x:v>70</x:v>
      </x:c>
      <x:c r="B78" t="str">
        <x:v>제작·조립·설치·가공</x:v>
      </x:c>
      <x:c r="C78" t="str">
        <x:v>템플릿 API</x:v>
      </x:c>
      <x:c r="D78" t="str">
        <x:v>템플릿 Input 다량 적용 시 보호된 메모리 충돌</x:v>
      </x:c>
      <x:c r="E78" t="str">
        <x:v>○</x:v>
      </x:c>
      <x:c r="F78" t="str">
        <x:v>X</x:v>
      </x:c>
      <x:c r="G78" t="str">
        <x:v>X</x:v>
      </x:c>
      <x:c r="H78" t="str">
        <x:v>X</x:v>
      </x:c>
      <x:c r="I78" t="str">
        <x:v>API 대기</x:v>
      </x:c>
      <x:c r="J78" t="str">
        <x:v>일부 템플릿에서 Input 항목이 많아지면 적용 중 보호된 메모리 접근 충돌 발생</x:v>
      </x:c>
      <x:c r="K78" t="str">
        <x:v>API 수정</x:v>
      </x:c>
      <x:c r="L78" t="str">
        <x:v>O</x:v>
      </x:c>
      <x:c r="M78" t="str">
        <x:v>O</x:v>
      </x:c>
      <x:c r="N78" s="44"/>
      <x:c r="O78" s="44"/>
      <x:c r="P78" s="44" t="n">
        <x:v>46225</x:v>
      </x:c>
      <x:c r="Q78" t="str">
        <x:v>대량 Input에서도 충돌 없이 템플릿을 적용할 수 있도록 API 안정화 필요</x:v>
      </x:c>
    </x:row>
    <x:row r="79" ht="42" customHeight="1">
      <x:c r="A79" t="n">
        <x:v>71</x:v>
      </x:c>
      <x:c r="B79" t="str">
        <x:v>제작·조립·설치·가공</x:v>
      </x:c>
      <x:c r="C79" t="str">
        <x:v>템플릿 API</x:v>
      </x:c>
      <x:c r="D79" t="str">
        <x:v>템플릿 텍스트 Bold 적용 API</x:v>
      </x:c>
      <x:c r="E79" t="str">
        <x:v>X</x:v>
      </x:c>
      <x:c r="F79" t="str">
        <x:v>○</x:v>
      </x:c>
      <x:c r="G79" t="str">
        <x:v>X</x:v>
      </x:c>
      <x:c r="H79" t="str">
        <x:v>X</x:v>
      </x:c>
      <x:c r="I79" t="str">
        <x:v>API 대기</x:v>
      </x:c>
      <x:c r="J79" t="str">
        <x:v>템플릿 출력 시 특정 텍스트의 Bold 속성을 코드에서 지정할 수 없음</x:v>
      </x:c>
      <x:c r="K79" t="str">
        <x:v>API 보강</x:v>
      </x:c>
      <x:c r="L79" t="str">
        <x:v>X</x:v>
      </x:c>
      <x:c r="M79" t="str">
        <x:v>O</x:v>
      </x:c>
      <x:c r="N79" s="44"/>
      <x:c r="O79" s="44"/>
      <x:c r="P79" s="44" t="n">
        <x:v>46225</x:v>
      </x:c>
      <x:c r="Q79" t="str">
        <x:v>도면 제목·표제부 등 선택 텍스트에 Bold를 적용할 수 있는 API 필요</x:v>
      </x:c>
    </x:row>
  </x:sheetData>
  <x:mergeCells>
    <x:mergeCell ref="A1:R1"/>
    <x:mergeCell ref="A2:R2"/>
    <x:mergeCell ref="A3:R3"/>
  </x:mergeCells>
  <x:conditionalFormatting sqref="I6:I72">
    <x:cfRule type="expression" dxfId="17" priority="4">
      <x:formula>$I6="개발 필요"</x:formula>
    </x:cfRule>
    <x:cfRule type="expression" dxfId="16" priority="5">
      <x:formula>$I6="분석 필요"</x:formula>
    </x:cfRule>
    <x:cfRule type="expression" dxfId="15" priority="6">
      <x:formula>$I6="출력 불가"</x:formula>
    </x:cfRule>
    <x:cfRule type="expression" dxfId="14" priority="7">
      <x:formula>$I6="벤더/API 대기"</x:formula>
    </x:cfRule>
  </x:conditionalFormatting>
  <x:conditionalFormatting sqref="I6:I74">
    <x:cfRule type="expression" dxfId="13" priority="1">
      <x:formula>$I6="완료"</x:formula>
    </x:cfRule>
    <x:cfRule type="expression" dxfId="12" priority="2">
      <x:formula>$I6="실기 검증 대기"</x:formula>
    </x:cfRule>
    <x:cfRule type="expression" dxfId="11" priority="3">
      <x:formula>$I6="부분 구현"</x:formula>
    </x:cfRule>
  </x:conditionalFormatting>
  <x:conditionalFormatting sqref="I6:I76">
    <x:cfRule type="expression" dxfId="10" priority="15">
      <x:formula>$I6="완료"</x:formula>
    </x:cfRule>
    <x:cfRule type="expression" dxfId="9" priority="16">
      <x:formula>$I6="실기 검증 대기"</x:formula>
    </x:cfRule>
    <x:cfRule type="expression" dxfId="8" priority="17">
      <x:formula>$I6="부분 구현"</x:formula>
    </x:cfRule>
    <x:cfRule type="expression" dxfId="7" priority="18">
      <x:formula>$I6="개발 필요"</x:formula>
    </x:cfRule>
    <x:cfRule type="expression" dxfId="6" priority="19">
      <x:formula>$I6="분석 필요"</x:formula>
    </x:cfRule>
    <x:cfRule type="expression" dxfId="5" priority="20">
      <x:formula>$I6="출력 불가"</x:formula>
    </x:cfRule>
    <x:cfRule type="expression" dxfId="4" priority="21">
      <x:formula>$I6="API 대기"</x:formula>
    </x:cfRule>
  </x:conditionalFormatting>
  <x:conditionalFormatting sqref="I73:I74">
    <x:cfRule type="expression" dxfId="3" priority="11">
      <x:formula>$I73="개발 필요"</x:formula>
    </x:cfRule>
    <x:cfRule type="expression" dxfId="2" priority="12">
      <x:formula>$I73="분석 필요"</x:formula>
    </x:cfRule>
    <x:cfRule type="expression" dxfId="1" priority="13">
      <x:formula>$I73="출력 불가"</x:formula>
    </x:cfRule>
    <x:cfRule type="expression" dxfId="0" priority="14">
      <x:formula>$I73="벤더/API 대기"</x:formula>
    </x:cfRule>
  </x:conditionalFormatting>
  <x:conditionalFormatting sqref="I6:I79">
    <x:cfRule type="expression" dxfId="18" priority="22">
      <x:formula>$I6="완료"</x:formula>
    </x:cfRule>
    <x:cfRule type="expression" dxfId="19" priority="23">
      <x:formula>$I6="실기 검증 대기"</x:formula>
    </x:cfRule>
    <x:cfRule type="expression" dxfId="20" priority="24">
      <x:formula>$I6="부분 구현"</x:formula>
    </x:cfRule>
    <x:cfRule type="expression" dxfId="21" priority="25">
      <x:formula>OR($I6="개발 필요",$I6="개발 대기")</x:formula>
    </x:cfRule>
    <x:cfRule type="expression" dxfId="22" priority="26">
      <x:formula>OR($I6="분석 필요",$I6="적용 제외")</x:formula>
    </x:cfRule>
    <x:cfRule type="expression" dxfId="23" priority="27">
      <x:formula>OR($I6="출력 불가",$I6="API 요청 필요",$I6="API 대기")</x:formula>
    </x:cfRule>
  </x:conditionalFormatting>
  <x:dataValidations count="9">
    <x:dataValidation type="list" sqref="G6:G74">
      <x:formula1>"O,△,X"</x:formula1>
    </x:dataValidation>
    <x:dataValidation type="list" sqref="H6:H74">
      <x:formula1>"O,대기,X,해당없음"</x:formula1>
    </x:dataValidation>
    <x:dataValidation type="list" sqref="I6:I74">
      <x:formula1>"완료,실기 검증 대기,부분 구현,개발 필요,분석 필요,출력 불가,벤더/API 대기"</x:formula1>
    </x:dataValidation>
    <x:dataValidation type="list" sqref="L6:M74">
      <x:formula1>"O,X"</x:formula1>
    </x:dataValidation>
    <x:dataValidation type="list" sqref="I6:I76">
      <x:formula1>"완료,실기 검증 대기,부분 구현,개발 필요,분석 필요,출력 불가,API 대기"</x:formula1>
    </x:dataValidation>
    <x:dataValidation type="list" sqref="G6:G79">
      <x:formula1>"O,△,X"</x:formula1>
    </x:dataValidation>
    <x:dataValidation type="list" sqref="H6:H79">
      <x:formula1>"O,대기,X,해당없음"</x:formula1>
    </x:dataValidation>
    <x:dataValidation type="list" sqref="I6:I79">
      <x:formula1>"완료,실기 검증 대기,부분 구현,개발 필요,개발 대기,분석 필요,출력 불가,API 요청 필요,API 대기,적용 제외"</x:formula1>
    </x:dataValidation>
    <x:dataValidation type="list" sqref="L6:M79">
      <x:formula1>"O,X"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3f2d45ea3846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7.399999618530273"/>
  <x:cols>
    <x:col min="1" max="1" width="19.69921875" customWidth="1"/>
    <x:col min="2" max="2" width="11.09765625" customWidth="1"/>
    <x:col min="3" max="3" width="9.296875" customWidth="1"/>
    <x:col min="4" max="4" width="37.59765625" customWidth="1"/>
    <x:col min="5" max="5" width="27" customWidth="1"/>
    <x:col min="6" max="6" width="9.19921875" customWidth="1"/>
    <x:col min="7" max="7" width="35.19921875" customWidth="1"/>
  </x:cols>
  <x:sheetData>
    <x:row r="1">
      <x:c r="A1" s="10" t="s">
        <x:v>43</x:v>
      </x:c>
      <x:c r="B1" s="10"/>
      <x:c r="C1" s="10"/>
      <x:c r="D1" s="10"/>
      <x:c r="E1" s="10"/>
      <x:c r="F1" s="10"/>
      <x:c r="G1" s="10"/>
    </x:row>
    <x:row r="2">
      <x:c r="A2" s="41" t="s">
        <x:v>44</x:v>
      </x:c>
      <x:c r="B2" s="41"/>
      <x:c r="C2" s="41"/>
      <x:c r="D2" s="41"/>
      <x:c r="E2" s="41"/>
      <x:c r="F2" s="41"/>
      <x:c r="G2" s="41"/>
    </x:row>
    <x:row r="4" ht="15" customHeight="1">
      <x:c r="A4" s="42" t="s">
        <x:v>45</x:v>
      </x:c>
      <x:c r="B4" s="42"/>
      <x:c r="C4" s="42"/>
      <x:c r="D4" s="42"/>
      <x:c r="E4" s="42"/>
      <x:c r="F4" s="42"/>
      <x:c r="G4" s="42"/>
    </x:row>
    <x:row r="5" ht="37.95000076293945" customHeight="1">
      <x:c r="A5" s="2" t="s">
        <x:v>46</x:v>
      </x:c>
      <x:c r="B5" s="2" t="s">
        <x:v>47</x:v>
      </x:c>
      <x:c r="C5" s="2" t="s">
        <x:v>48</x:v>
      </x:c>
      <x:c r="D5" s="2" t="s">
        <x:v>9</x:v>
      </x:c>
      <x:c r="E5" s="2" t="s">
        <x:v>49</x:v>
      </x:c>
      <x:c r="F5" s="2" t="s">
        <x:v>37</x:v>
      </x:c>
      <x:c r="G5" s="2" t="s">
        <x:v>50</x:v>
      </x:c>
    </x:row>
    <x:row r="6" ht="36" customHeight="1">
      <x:c r="A6" s="3" t="s">
        <x:v>51</x:v>
      </x:c>
      <x:c r="B6" s="3" t="s">
        <x:v>52</x:v>
      </x:c>
      <x:c r="C6" s="3" t="s">
        <x:v>53</x:v>
      </x:c>
      <x:c r="D6" s="3" t="s">
        <x:v>2</x:v>
      </x:c>
      <x:c r="E6" s="3" t="s">
        <x:v>54</x:v>
      </x:c>
      <x:c r="F6" s="3" t="s">
        <x:v>55</x:v>
      </x:c>
      <x:c r="G6" s="3" t="s">
        <x:v>56</x:v>
      </x:c>
    </x:row>
    <x:row r="7" ht="36" customHeight="1">
      <x:c r="A7" s="3" t="s">
        <x:v>57</x:v>
      </x:c>
      <x:c r="B7" s="3" t="s">
        <x:v>58</x:v>
      </x:c>
      <x:c r="C7" s="3" t="s">
        <x:v>59</x:v>
      </x:c>
      <x:c r="D7" s="3" t="s">
        <x:v>2</x:v>
      </x:c>
      <x:c r="E7" s="3" t="s">
        <x:v>54</x:v>
      </x:c>
      <x:c r="F7" s="3" t="s">
        <x:v>55</x:v>
      </x:c>
      <x:c r="G7" s="3" t="s">
        <x:v>60</x:v>
      </x:c>
    </x:row>
    <x:row r="8" ht="36" customHeight="1">
      <x:c r="A8" s="3" t="s">
        <x:v>61</x:v>
      </x:c>
      <x:c r="B8" s="3" t="s">
        <x:v>62</x:v>
      </x:c>
      <x:c r="C8" s="3" t="s">
        <x:v>63</x:v>
      </x:c>
      <x:c r="D8" s="3" t="s">
        <x:v>2</x:v>
      </x:c>
      <x:c r="E8" s="3" t="s">
        <x:v>54</x:v>
      </x:c>
      <x:c r="F8" s="3" t="s">
        <x:v>55</x:v>
      </x:c>
      <x:c r="G8" s="3" t="s">
        <x:v>64</x:v>
      </x:c>
    </x:row>
    <x:row r="9" ht="36" customHeight="1">
      <x:c r="A9" s="3" t="s">
        <x:v>65</x:v>
      </x:c>
      <x:c r="B9" s="3" t="s">
        <x:v>66</x:v>
      </x:c>
      <x:c r="C9" s="3" t="s">
        <x:v>67</x:v>
      </x:c>
      <x:c r="D9" s="3" t="s">
        <x:v>2</x:v>
      </x:c>
      <x:c r="E9" s="3" t="s">
        <x:v>54</x:v>
      </x:c>
      <x:c r="F9" s="3" t="s">
        <x:v>55</x:v>
      </x:c>
      <x:c r="G9" s="3" t="s">
        <x:v>68</x:v>
      </x:c>
    </x:row>
    <x:row r="11" ht="15" customHeight="1">
      <x:c r="A11" s="42" t="s">
        <x:v>69</x:v>
      </x:c>
      <x:c r="B11" s="42"/>
      <x:c r="C11" s="42"/>
      <x:c r="D11" s="42"/>
      <x:c r="E11" s="42"/>
      <x:c r="F11" s="42"/>
      <x:c r="G11" s="42"/>
    </x:row>
    <x:row r="12" ht="37.95000076293945" customHeight="1">
      <x:c r="A12" s="2" t="s">
        <x:v>70</x:v>
      </x:c>
      <x:c r="B12" s="2" t="s">
        <x:v>30</x:v>
      </x:c>
      <x:c r="C12" s="2" t="s">
        <x:v>34</x:v>
      </x:c>
      <x:c r="D12" s="2" t="s">
        <x:v>71</x:v>
      </x:c>
      <x:c r="E12" s="2" t="s">
        <x:v>72</x:v>
      </x:c>
      <x:c r="F12" s="2" t="s">
        <x:v>73</x:v>
      </x:c>
      <x:c r="G12" s="2" t="s">
        <x:v>74</x:v>
      </x:c>
    </x:row>
    <x:row r="13" ht="36" customHeight="1">
      <x:c r="A13" s="3" t="s">
        <x:v>75</x:v>
      </x:c>
      <x:c r="B13" s="3" t="s">
        <x:v>76</x:v>
      </x:c>
      <x:c r="C13" s="3" t="s">
        <x:v>2</x:v>
      </x:c>
      <x:c r="D13" s="3" t="s">
        <x:v>77</x:v>
      </x:c>
      <x:c r="E13" s="3" t="s">
        <x:v>78</x:v>
      </x:c>
      <x:c r="F13" s="3" t="s">
        <x:v>79</x:v>
      </x:c>
      <x:c r="G13" s="3" t="s">
        <x:v>80</x:v>
      </x:c>
    </x:row>
    <x:row r="14" ht="36" customHeight="1">
      <x:c r="A14" s="3" t="str">
        <x:v>ITEM</x:v>
      </x:c>
      <x:c r="B14" s="3" t="str">
        <x:v>○</x:v>
      </x:c>
      <x:c r="C14" s="3" t="str">
        <x:v>완료</x:v>
      </x:c>
      <x:c r="D14" s="3" t="str">
        <x:v>SPREF 앞 구간; 없음·빈값은 unset</x:v>
      </x:c>
      <x:c r="E14" s="3" t="str">
        <x:v>SPREF</x:v>
      </x:c>
      <x:c r="F14" s="3" t="str">
        <x:v>없음</x:v>
      </x:c>
      <x:c r="G14" s="3" t="str">
        <x:v>후속 빈 데이터는 -로 표시, 2026-07-23 실기 확인</x:v>
      </x:c>
    </x:row>
    <x:row r="15" ht="36" customHeight="1">
      <x:c r="A15" s="3" t="s">
        <x:v>81</x:v>
      </x:c>
      <x:c r="B15" s="3" t="s">
        <x:v>76</x:v>
      </x:c>
      <x:c r="C15" s="3" t="s">
        <x:v>2</x:v>
      </x:c>
      <x:c r="D15" s="3" t="s">
        <x:v>82</x:v>
      </x:c>
      <x:c r="E15" s="3" t="s">
        <x:v>82</x:v>
      </x:c>
      <x:c r="F15" s="3" t="s">
        <x:v>79</x:v>
      </x:c>
      <x:c r="G15" s="3" t="s">
        <x:v>83</x:v>
      </x:c>
    </x:row>
    <x:row r="16" ht="36" customHeight="1">
      <x:c r="A16" s="3" t="s">
        <x:v>84</x:v>
      </x:c>
      <x:c r="B16" s="3" t="s">
        <x:v>76</x:v>
      </x:c>
      <x:c r="C16" s="3" t="s">
        <x:v>85</x:v>
      </x:c>
      <x:c r="D16" s="3" t="s">
        <x:v>86</x:v>
      </x:c>
      <x:c r="E16" s="3" t="s">
        <x:v>87</x:v>
      </x:c>
      <x:c r="F16" s="3" t="s">
        <x:v>88</x:v>
      </x:c>
      <x:c r="G16" s="3" t="s">
        <x:v>89</x:v>
      </x:c>
    </x:row>
    <x:row r="17" ht="36" customHeight="1">
      <x:c r="A17" s="3" t="s">
        <x:v>90</x:v>
      </x:c>
      <x:c r="B17" s="3" t="s">
        <x:v>76</x:v>
      </x:c>
      <x:c r="C17" s="3" t="s">
        <x:v>91</x:v>
      </x:c>
      <x:c r="D17" s="3" t="s">
        <x:v>92</x:v>
      </x:c>
      <x:c r="E17" s="3" t="s">
        <x:v>93</x:v>
      </x:c>
      <x:c r="F17" s="3" t="s">
        <x:v>94</x:v>
      </x:c>
      <x:c r="G17" s="3" t="s">
        <x:v>95</x:v>
      </x:c>
    </x:row>
    <x:row r="18" ht="36" customHeight="1">
      <x:c r="A18" s="3" t="s">
        <x:v>96</x:v>
      </x:c>
      <x:c r="B18" s="3" t="s">
        <x:v>76</x:v>
      </x:c>
      <x:c r="C18" s="3" t="s">
        <x:v>2</x:v>
      </x:c>
      <x:c r="D18" s="3" t="s">
        <x:v>97</x:v>
      </x:c>
      <x:c r="E18" s="3" t="s">
        <x:v>98</x:v>
      </x:c>
      <x:c r="F18" s="3" t="s">
        <x:v>79</x:v>
      </x:c>
      <x:c r="G18" s="3" t="s">
        <x:v>99</x:v>
      </x:c>
    </x:row>
    <x:row r="19" ht="36" customHeight="1">
      <x:c r="A19" s="3" t="s">
        <x:v>100</x:v>
      </x:c>
      <x:c r="B19" s="3" t="s">
        <x:v>76</x:v>
      </x:c>
      <x:c r="C19" s="3" t="s">
        <x:v>91</x:v>
      </x:c>
      <x:c r="D19" s="3" t="s">
        <x:v>101</x:v>
      </x:c>
      <x:c r="E19" s="3" t="s">
        <x:v>102</x:v>
      </x:c>
      <x:c r="F19" s="3" t="s">
        <x:v>94</x:v>
      </x:c>
      <x:c r="G19" s="3" t="s">
        <x:v>95</x:v>
      </x:c>
    </x:row>
    <x:row r="20" ht="36" customHeight="1">
      <x:c r="A20" s="3" t="s">
        <x:v>103</x:v>
      </x:c>
      <x:c r="B20" s="3" t="s">
        <x:v>76</x:v>
      </x:c>
      <x:c r="C20" s="3" t="s">
        <x:v>91</x:v>
      </x:c>
      <x:c r="D20" s="3" t="s">
        <x:v>104</x:v>
      </x:c>
      <x:c r="E20" s="3" t="s">
        <x:v>102</x:v>
      </x:c>
      <x:c r="F20" s="3" t="s">
        <x:v>94</x:v>
      </x:c>
      <x:c r="G20" s="3" t="s">
        <x:v>95</x:v>
      </x:c>
    </x:row>
    <x:row r="22" ht="15" customHeight="1">
      <x:c r="A22" s="42" t="s">
        <x:v>105</x:v>
      </x:c>
      <x:c r="B22" s="42"/>
      <x:c r="C22" s="42"/>
      <x:c r="D22" s="42"/>
      <x:c r="E22" s="42"/>
      <x:c r="F22" s="42"/>
      <x:c r="G22" s="42"/>
    </x:row>
    <x:row r="23" ht="37.95000076293945" customHeight="1">
      <x:c r="A23" s="2" t="s">
        <x:v>8</x:v>
      </x:c>
      <x:c r="B23" s="2" t="s">
        <x:v>30</x:v>
      </x:c>
      <x:c r="C23" s="2" t="s">
        <x:v>34</x:v>
      </x:c>
      <x:c r="D23" s="2" t="s">
        <x:v>106</x:v>
      </x:c>
      <x:c r="E23" s="2" t="s">
        <x:v>107</x:v>
      </x:c>
      <x:c r="F23" s="2" t="s">
        <x:v>73</x:v>
      </x:c>
      <x:c r="G23" s="2" t="s">
        <x:v>50</x:v>
      </x:c>
    </x:row>
    <x:row r="24" ht="36" customHeight="1">
      <x:c r="A24" s="3" t="str">
        <x:v>Paint Code</x:v>
      </x:c>
      <x:c r="B24" s="3" t="str">
        <x:v>○</x:v>
      </x:c>
      <x:c r="C24" s="3" t="str">
        <x:v>개발 대기</x:v>
      </x:c>
      <x:c r="D24" s="3" t="str">
        <x:v>Input 165 값칸, 현재 공백</x:v>
      </x:c>
      <x:c r="E24" s="3" t="str">
        <x:v>STRU 상위 UDA 중 키명에 PNT 포함 값</x:v>
      </x:c>
      <x:c r="F24" s="3" t="str">
        <x:v>필요</x:v>
      </x:c>
      <x:c r="G24" s="3" t="str">
        <x:v>제작도·가공도 공통; PNT 미존재 시 공백·괘선 유지</x:v>
      </x:c>
    </x:row>
    <x:row r="25" ht="36" customHeight="1">
      <x:c r="A25" s="3" t="s">
        <x:v>108</x:v>
      </x:c>
      <x:c r="B25" s="3" t="s">
        <x:v>76</x:v>
      </x:c>
      <x:c r="C25" s="3" t="s">
        <x:v>91</x:v>
      </x:c>
      <x:c r="D25" s="3" t="s">
        <x:v>109</x:v>
      </x:c>
      <x:c r="E25" s="3" t="s">
        <x:v>110</x:v>
      </x:c>
      <x:c r="F25" s="3" t="s">
        <x:v>94</x:v>
      </x:c>
      <x:c r="G25" s="3" t="s">
        <x:v>111</x:v>
      </x:c>
    </x:row>
    <x:row r="26" ht="36" customHeight="1">
      <x:c r="A26" s="3" t="s">
        <x:v>112</x:v>
      </x:c>
      <x:c r="B26" s="3" t="s">
        <x:v>113</x:v>
      </x:c>
      <x:c r="C26" s="3" t="s">
        <x:v>114</x:v>
      </x:c>
      <x:c r="D26" s="3" t="s">
        <x:v>109</x:v>
      </x:c>
      <x:c r="E26" s="3" t="s">
        <x:v>115</x:v>
      </x:c>
      <x:c r="F26" s="3" t="s">
        <x:v>94</x:v>
      </x:c>
      <x:c r="G26" s="3" t="s">
        <x:v>116</x:v>
      </x:c>
    </x:row>
    <x:row r="27" ht="36" customHeight="1">
      <x:c r="A27" s="3" t="s">
        <x:v>117</x:v>
      </x:c>
      <x:c r="B27" s="3" t="s">
        <x:v>76</x:v>
      </x:c>
      <x:c r="C27" s="3" t="s">
        <x:v>91</x:v>
      </x:c>
      <x:c r="D27" s="3" t="s">
        <x:v>118</x:v>
      </x:c>
      <x:c r="E27" s="3" t="s">
        <x:v>119</x:v>
      </x:c>
      <x:c r="F27" s="3" t="s">
        <x:v>94</x:v>
      </x:c>
      <x:c r="G27" s="3" t="s">
        <x:v>120</x:v>
      </x:c>
    </x:row>
    <x:row r="28" ht="36" customHeight="1">
      <x:c r="A28" s="3" t="s">
        <x:v>121</x:v>
      </x:c>
      <x:c r="B28" s="3" t="s">
        <x:v>76</x:v>
      </x:c>
      <x:c r="C28" s="3" t="s">
        <x:v>91</x:v>
      </x:c>
      <x:c r="D28" s="3" t="s">
        <x:v>122</x:v>
      </x:c>
      <x:c r="E28" s="3" t="s">
        <x:v>123</x:v>
      </x:c>
      <x:c r="F28" s="3" t="s">
        <x:v>94</x:v>
      </x:c>
      <x:c r="G28" s="3" t="s">
        <x:v>124</x:v>
      </x:c>
    </x:row>
    <x:row r="29" ht="36" customHeight="1">
      <x:c r="A29" s="3" t="s">
        <x:v>125</x:v>
      </x:c>
      <x:c r="B29" s="3" t="s">
        <x:v>76</x:v>
      </x:c>
      <x:c r="C29" s="3" t="s">
        <x:v>85</x:v>
      </x:c>
      <x:c r="D29" s="3" t="s">
        <x:v>126</x:v>
      </x:c>
      <x:c r="E29" s="3" t="s">
        <x:v>127</x:v>
      </x:c>
      <x:c r="F29" s="3" t="s">
        <x:v>94</x:v>
      </x:c>
      <x:c r="G29" s="3" t="s">
        <x:v>128</x:v>
      </x:c>
    </x:row>
    <x:row r="30" ht="36" customHeight="1">
      <x:c r="A30" s="3" t="s">
        <x:v>129</x:v>
      </x:c>
      <x:c r="B30" s="3" t="s">
        <x:v>76</x:v>
      </x:c>
      <x:c r="C30" s="3" t="s">
        <x:v>85</x:v>
      </x:c>
      <x:c r="D30" s="3" t="s">
        <x:v>130</x:v>
      </x:c>
      <x:c r="E30" s="3" t="s">
        <x:v>131</x:v>
      </x:c>
      <x:c r="F30" s="3" t="s">
        <x:v>94</x:v>
      </x:c>
      <x:c r="G30" s="3" t="s">
        <x:v>128</x:v>
      </x:c>
    </x:row>
    <x:row r="31" ht="36" customHeight="1">
      <x:c r="A31" s="3" t="s">
        <x:v>132</x:v>
      </x:c>
      <x:c r="B31" s="3" t="s">
        <x:v>76</x:v>
      </x:c>
      <x:c r="C31" s="3" t="s">
        <x:v>85</x:v>
      </x:c>
      <x:c r="D31" s="3" t="s">
        <x:v>133</x:v>
      </x:c>
      <x:c r="E31" s="3" t="s">
        <x:v>134</x:v>
      </x:c>
      <x:c r="F31" s="3" t="s">
        <x:v>135</x:v>
      </x:c>
      <x:c r="G31" s="3" t="s">
        <x:v>136</x:v>
      </x:c>
    </x:row>
    <x:row r="32" ht="36" customHeight="1">
      <x:c r="A32" s="3" t="s">
        <x:v>137</x:v>
      </x:c>
      <x:c r="B32" s="3" t="s">
        <x:v>76</x:v>
      </x:c>
      <x:c r="C32" s="3" t="s">
        <x:v>91</x:v>
      </x:c>
      <x:c r="D32" s="3" t="s">
        <x:v>138</x:v>
      </x:c>
      <x:c r="E32" s="3" t="s">
        <x:v>139</x:v>
      </x:c>
      <x:c r="F32" s="3" t="s">
        <x:v>94</x:v>
      </x:c>
      <x:c r="G32" s="3" t="s">
        <x:v>140</x:v>
      </x:c>
    </x:row>
    <x:row r="33" ht="36" customHeight="1">
      <x:c r="A33" s="3" t="s">
        <x:v>141</x:v>
      </x:c>
      <x:c r="B33" s="3" t="s">
        <x:v>55</x:v>
      </x:c>
      <x:c r="C33" s="3" t="s">
        <x:v>2</x:v>
      </x:c>
      <x:c r="D33" s="3" t="s">
        <x:v>142</x:v>
      </x:c>
      <x:c r="E33" s="3" t="s">
        <x:v>143</x:v>
      </x:c>
      <x:c r="F33" s="3" t="s">
        <x:v>144</x:v>
      </x:c>
      <x:c r="G33" s="3" t="s">
        <x:v>31</x:v>
      </x:c>
    </x:row>
    <x:row r="34" ht="36" customHeight="1">
      <x:c r="A34" s="3" t="s">
        <x:v>145</x:v>
      </x:c>
      <x:c r="B34" s="3" t="s">
        <x:v>55</x:v>
      </x:c>
      <x:c r="C34" s="3" t="s">
        <x:v>85</x:v>
      </x:c>
      <x:c r="D34" s="3" t="s">
        <x:v>146</x:v>
      </x:c>
      <x:c r="E34" s="3" t="s">
        <x:v>147</x:v>
      </x:c>
      <x:c r="F34" s="3" t="s">
        <x:v>94</x:v>
      </x:c>
      <x:c r="G34" s="3" t="s">
        <x:v>31</x:v>
      </x:c>
    </x:row>
    <x:row r="36">
      <x:c r="A36" s="31" t="s">
        <x:v>148</x:v>
      </x:c>
      <x:c r="B36" s="31"/>
      <x:c r="C36" s="31"/>
      <x:c r="D36" s="31"/>
      <x:c r="E36" s="31"/>
      <x:c r="F36" s="31"/>
      <x:c r="G36" s="31"/>
    </x:row>
    <x:row r="37" ht="37.95000076293945" customHeight="1">
      <x:c r="A37" s="6" t="s">
        <x:v>8</x:v>
      </x:c>
      <x:c r="B37" s="6" t="s">
        <x:v>30</x:v>
      </x:c>
      <x:c r="C37" s="6" t="s">
        <x:v>34</x:v>
      </x:c>
      <x:c r="D37" s="6" t="s">
        <x:v>149</x:v>
      </x:c>
      <x:c r="E37" s="6" t="s">
        <x:v>150</x:v>
      </x:c>
      <x:c r="F37" s="6" t="s">
        <x:v>73</x:v>
      </x:c>
      <x:c r="G37" s="6" t="s">
        <x:v>74</x:v>
      </x:c>
    </x:row>
    <x:row r="38" ht="36" customHeight="1">
      <x:c r="A38" s="7" t="s">
        <x:v>151</x:v>
      </x:c>
      <x:c r="B38" s="7" t="s">
        <x:v>76</x:v>
      </x:c>
      <x:c r="C38" s="7" t="s">
        <x:v>152</x:v>
      </x:c>
      <x:c r="D38" s="7" t="s">
        <x:v>153</x:v>
      </x:c>
      <x:c r="E38" s="7" t="s">
        <x:v>154</x:v>
      </x:c>
      <x:c r="F38" s="7" t="s">
        <x:v>94</x:v>
      </x:c>
      <x:c r="G38" s="7" t="s">
        <x:v>155</x:v>
      </x:c>
    </x:row>
    <x:row r="39" ht="36" customHeight="1">
      <x:c r="A39" s="7" t="str">
        <x:v>대각 치수</x:v>
      </x:c>
      <x:c r="B39" s="7" t="str">
        <x:v>X</x:v>
      </x:c>
      <x:c r="C39" s="7" t="str">
        <x:v>적용 제외</x:v>
      </x:c>
      <x:c r="D39" s="7" t="str">
        <x:v>수평·수직 위치 치수 유지</x:v>
      </x:c>
      <x:c r="E39" s="7" t="str">
        <x:v>없음</x:v>
      </x:c>
      <x:c r="F39" s="7" t="str">
        <x:v>없음</x:v>
      </x:c>
      <x:c r="G39" s="7" t="str">
        <x:v>생산 기준상 대각 선형 치수를 적용하지 않기로 결정</x:v>
      </x:c>
    </x:row>
    <x:row r="40" ht="36" customHeight="1">
      <x:c r="A40" s="7" t="str">
        <x:v>ISO 미리보기 상태 정리</x:v>
      </x:c>
      <x:c r="B40" s="7" t="str">
        <x:v>X</x:v>
      </x:c>
      <x:c r="C40" s="7" t="str">
        <x:v>완료</x:v>
      </x:c>
      <x:c r="D40" s="7" t="str">
        <x:v>진입 시 Measure·ShapeDrawing 초기화</x:v>
      </x:c>
      <x:c r="E40" s="7" t="str">
        <x:v>없음</x:v>
      </x:c>
      <x:c r="F40" s="7" t="str">
        <x:v>없음</x:v>
      </x:c>
      <x:c r="G40" s="7" t="str">
        <x:v>ISO에는 BOM 풍선만 유지됨을 사내 실기 확인</x:v>
      </x:c>
    </x:row>
    <x:row r="41" ht="36" customHeight="1">
      <x:c r="A41" s="7" t="str">
        <x:v>2D 출력 후 임시 치수 정리</x:v>
      </x:c>
      <x:c r="B41" s="7" t="str">
        <x:v>○</x:v>
      </x:c>
      <x:c r="C41" s="7" t="str">
        <x:v>완료</x:v>
      </x:c>
      <x:c r="D41" s="7" t="str">
        <x:v>출력 종료 finally에서 3D 임시 객체 정리</x:v>
      </x:c>
      <x:c r="E41" s="7" t="str">
        <x:v>없음</x:v>
      </x:c>
      <x:c r="F41" s="7" t="str">
        <x:v>없음</x:v>
      </x:c>
      <x:c r="G41" s="7" t="str">
        <x:v>연속 모델·시트 출력에서 이월 없음 실기 확인</x:v>
      </x:c>
    </x:row>
    <x:row r="42" ht="42" customHeight="1">
      <x:c r="A42" t="str">
        <x:v>작은 치수선 길이 제어</x:v>
      </x:c>
      <x:c r="B42" t="str">
        <x:v>X</x:v>
      </x:c>
      <x:c r="C42" t="str">
        <x:v>API 요청 필요</x:v>
      </x:c>
      <x:c r="D42" t="str">
        <x:v>외부 텍스트 배치 시 SDK 치수선 자동 연장</x:v>
      </x:c>
      <x:c r="E42" t="str">
        <x:v>치수선·leader 길이 제어 API</x:v>
      </x:c>
      <x:c r="F42" t="str">
        <x:v>API 요청</x:v>
      </x:c>
      <x:c r="G42" t="str">
        <x:v>낮은 우선순위이며 아직 요청 미전달</x:v>
      </x:c>
    </x:row>
    <x:row r="43" ht="25.950000762939453" customHeight="1">
      <x:c r="A43" s="32" t="s">
        <x:v>156</x:v>
      </x:c>
      <x:c r="B43" s="33"/>
      <x:c r="C43" s="33"/>
      <x:c r="D43" s="33"/>
      <x:c r="E43" s="33"/>
      <x:c r="F43" s="33"/>
      <x:c r="G43" s="34"/>
    </x:row>
    <x:row r="44" ht="25.950000762939453" customHeight="1">
      <x:c r="A44" s="35" t="s">
        <x:v>157</x:v>
      </x:c>
      <x:c r="B44" s="36"/>
      <x:c r="C44" s="36"/>
      <x:c r="D44" s="36"/>
      <x:c r="E44" s="36"/>
      <x:c r="F44" s="36"/>
      <x:c r="G44" s="37"/>
    </x:row>
    <x:row r="45" ht="25.950000762939453" customHeight="1">
      <x:c r="A45" s="38" t="s">
        <x:v>158</x:v>
      </x:c>
      <x:c r="B45" s="39"/>
      <x:c r="C45" s="39"/>
      <x:c r="D45" s="39"/>
      <x:c r="E45" s="39"/>
      <x:c r="F45" s="39"/>
      <x:c r="G45" s="40"/>
    </x:row>
  </x:sheetData>
  <x:mergeCells>
    <x:mergeCell ref="A36:G36"/>
    <x:mergeCell ref="A43:G43"/>
    <x:mergeCell ref="A44:G44"/>
    <x:mergeCell ref="A45:G45"/>
    <x:mergeCell ref="A1:G1"/>
    <x:mergeCell ref="A2:G2"/>
    <x:mergeCell ref="A4:G4"/>
    <x:mergeCell ref="A11:G11"/>
    <x:mergeCell ref="A22:G22"/>
  </x:mergeCells>
  <x:pageMargins left="0.7" right="0.7" top="0.75" bottom="0.75" header="0.3" footer="0.3"/>
</x:worksheet>
</file>